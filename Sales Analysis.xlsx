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Data Analysis Project\"/>
    </mc:Choice>
  </mc:AlternateContent>
  <xr:revisionPtr revIDLastSave="0" documentId="13_ncr:1_{420E23D0-C587-424C-ABE7-7C65AD14486A}" xr6:coauthVersionLast="47" xr6:coauthVersionMax="47" xr10:uidLastSave="{00000000-0000-0000-0000-000000000000}"/>
  <bookViews>
    <workbookView xWindow="-120" yWindow="-120" windowWidth="29040" windowHeight="16440" xr2:uid="{5926B1D9-5DE1-48BF-B9FC-EDBF3EAD5958}"/>
  </bookViews>
  <sheets>
    <sheet name="Sales data" sheetId="2" r:id="rId1"/>
    <sheet name="Pivot tables" sheetId="3" r:id="rId2"/>
    <sheet name="Dashboard" sheetId="4" r:id="rId3"/>
  </sheets>
  <definedNames>
    <definedName name="_xlcn.WorksheetConnection_Book2Sales_data1" hidden="1">Sales_data[]</definedName>
    <definedName name="customers">'Pivot tables'!$B$4</definedName>
    <definedName name="ExternalData_1" localSheetId="0" hidden="1">'Sales data'!$A$1:$J$2001</definedName>
    <definedName name="highestcustomer">'Pivot tables'!$R$12</definedName>
    <definedName name="highestitem">'Pivot tables'!$J$31</definedName>
    <definedName name="Highestmonth">'Pivot tables'!$J$7</definedName>
    <definedName name="highestregion">'Pivot tables'!$J$23</definedName>
    <definedName name="highestsalesperson">'Pivot tables'!$P$30</definedName>
    <definedName name="Orders">'Pivot tables'!$D$8</definedName>
    <definedName name="py">'Pivot tables'!$D$8</definedName>
    <definedName name="quantities">'Pivot tables'!$C$4</definedName>
    <definedName name="Revenue">'Pivot tables'!$D$4</definedName>
    <definedName name="rr">'Pivot tables'!$D$8</definedName>
    <definedName name="Timeline_Date">#N/A</definedName>
    <definedName name="Total_order">'Pivot tables'!$A$4</definedName>
  </definedNames>
  <calcPr calcId="181029"/>
  <pivotCaches>
    <pivotCache cacheId="1" r:id="rId4"/>
    <pivotCache cacheId="2" r:id="rId5"/>
    <pivotCache cacheId="3" r:id="rId6"/>
    <pivotCache cacheId="4" r:id="rId7"/>
    <pivotCache cacheId="5" r:id="rId8"/>
    <pivotCache cacheId="6" r:id="rId9"/>
    <pivotCache cacheId="7" r:id="rId10"/>
    <pivotCache cacheId="8" r:id="rId11"/>
    <pivotCache cacheId="9" r:id="rId12"/>
    <pivotCache cacheId="10" r:id="rId1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1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Book2!Sales_data"/>
          <x15:modelTable id="Calendar" name="Calendar" connection="Connection"/>
        </x15:modelTables>
        <x15:modelRelationships>
          <x15:modelRelationship fromTable="Sales_data" fromColumn="Date" toTable="Calendar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_data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3" l="1"/>
  <c r="R12" i="3"/>
  <c r="P30" i="3"/>
  <c r="J31" i="3"/>
  <c r="J2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28C151-98CB-4A91-93B0-8BE008B38E14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FE57BEBF-13B8-4FD3-B972-D651D24C4E12}" keepAlive="1" name="Query - Table13" description="Connection to the 'Table13' query in the workbook." type="5" refreshedVersion="7" background="1" saveData="1">
    <dbPr connection="Provider=Microsoft.Mashup.OleDb.1;Data Source=$Workbook$;Location=Table13;Extended Properties=&quot;&quot;" command="SELECT * FROM [Table13]"/>
  </connection>
  <connection id="3" xr16:uid="{FBD03B66-7A51-4D6C-B8BD-FC3AC62E447D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E58EE68B-AF0B-4B50-B63F-C2A45A1D3A2A}" name="WorksheetConnection_Book2!Sales_data" type="102" refreshedVersion="7" minRefreshableVersion="5">
    <extLst>
      <ext xmlns:x15="http://schemas.microsoft.com/office/spreadsheetml/2010/11/main" uri="{DE250136-89BD-433C-8126-D09CA5730AF9}">
        <x15:connection id="Sales_data" autoDelete="1">
          <x15:rangePr sourceName="_xlcn.WorksheetConnection_Book2Sales_data1"/>
        </x15:connection>
      </ext>
    </extLst>
  </connection>
</connections>
</file>

<file path=xl/sharedStrings.xml><?xml version="1.0" encoding="utf-8"?>
<sst xmlns="http://schemas.openxmlformats.org/spreadsheetml/2006/main" count="8081" uniqueCount="81">
  <si>
    <t>Order ID</t>
  </si>
  <si>
    <t>Date</t>
  </si>
  <si>
    <t>Customer ID</t>
  </si>
  <si>
    <t>Customer Name</t>
  </si>
  <si>
    <t>Sales Person</t>
  </si>
  <si>
    <t>Region</t>
  </si>
  <si>
    <t>Item</t>
  </si>
  <si>
    <t>Price</t>
  </si>
  <si>
    <t>Quantity</t>
  </si>
  <si>
    <t>Revenue</t>
  </si>
  <si>
    <t>Company K</t>
  </si>
  <si>
    <t>Michael Fox</t>
  </si>
  <si>
    <t>New Mexico</t>
  </si>
  <si>
    <t>Item 2</t>
  </si>
  <si>
    <t>Company A</t>
  </si>
  <si>
    <t>Anna Weber</t>
  </si>
  <si>
    <t>Texas</t>
  </si>
  <si>
    <t>Item 5</t>
  </si>
  <si>
    <t>Company I</t>
  </si>
  <si>
    <t>Kim Fishman</t>
  </si>
  <si>
    <t>California</t>
  </si>
  <si>
    <t>Item 4</t>
  </si>
  <si>
    <t>Company R</t>
  </si>
  <si>
    <t>Oscar Knox</t>
  </si>
  <si>
    <t>Arizona</t>
  </si>
  <si>
    <t>Company P</t>
  </si>
  <si>
    <t>Item 3</t>
  </si>
  <si>
    <t>Company M</t>
  </si>
  <si>
    <t>Company Q</t>
  </si>
  <si>
    <t>Andrew James</t>
  </si>
  <si>
    <t>Company N</t>
  </si>
  <si>
    <t>Company T</t>
  </si>
  <si>
    <t>Item 1</t>
  </si>
  <si>
    <t>Company C</t>
  </si>
  <si>
    <t>Company H</t>
  </si>
  <si>
    <t>Laura Larsen</t>
  </si>
  <si>
    <t>Company F</t>
  </si>
  <si>
    <t>Company D</t>
  </si>
  <si>
    <t>Company S</t>
  </si>
  <si>
    <t>Company J</t>
  </si>
  <si>
    <t>Company E</t>
  </si>
  <si>
    <t>Anne Lee</t>
  </si>
  <si>
    <t>Company L</t>
  </si>
  <si>
    <t>Ben Wallace</t>
  </si>
  <si>
    <t>Company G</t>
  </si>
  <si>
    <t>Company B</t>
  </si>
  <si>
    <t>Company O</t>
  </si>
  <si>
    <t>Total orders</t>
  </si>
  <si>
    <t>Total customers</t>
  </si>
  <si>
    <t>Quantities Sold</t>
  </si>
  <si>
    <t>Total Revenue</t>
  </si>
  <si>
    <t>PY quantixty sold</t>
  </si>
  <si>
    <t>PY customers</t>
  </si>
  <si>
    <t>PY revenue</t>
  </si>
  <si>
    <t>PY Orders</t>
  </si>
  <si>
    <t>YOY Customers</t>
  </si>
  <si>
    <t>YOY Orders</t>
  </si>
  <si>
    <t>YOY Quantity sold</t>
  </si>
  <si>
    <t>YOY Revenue</t>
  </si>
  <si>
    <t>Column Labels</t>
  </si>
  <si>
    <t>Grand Total</t>
  </si>
  <si>
    <t>2018</t>
  </si>
  <si>
    <t>2019</t>
  </si>
  <si>
    <t>Jan</t>
  </si>
  <si>
    <t>Feb</t>
  </si>
  <si>
    <t>Mar</t>
  </si>
  <si>
    <t>Row Labels</t>
  </si>
  <si>
    <t>Revenue by Month</t>
  </si>
  <si>
    <t>Revenue by Region</t>
  </si>
  <si>
    <t>Revenue by Item</t>
  </si>
  <si>
    <t>Revnue by Sales Person</t>
  </si>
  <si>
    <t>Revenue by Customers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</si>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</sst>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[Green]\▲0.00%;[Red]\▼0.00%"/>
    <numFmt numFmtId="165" formatCode="[$-F800]dddd\,\ mmmm\ dd\,\ yyyy"/>
    <numFmt numFmtId="166" formatCode="[&gt;=1000000]&quot;$&quot;0,,&quot;M&quot;;[&gt;=1000]&quot;$&quot;0,&quot;K&quot;;0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5" fontId="0" fillId="0" borderId="0" xfId="0" pivotButton="1" applyNumberFormat="1"/>
    <xf numFmtId="166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37">
    <dxf>
      <numFmt numFmtId="167" formatCode="_(* #,##0_);_(* \(#,##0\);_(* &quot;-&quot;??_);_(@_)"/>
    </dxf>
    <dxf>
      <numFmt numFmtId="167" formatCode="_(* #,##0_);_(* \(#,##0\);_(* &quot;-&quot;??_);_(@_)"/>
    </dxf>
    <dxf>
      <numFmt numFmtId="166" formatCode="[&gt;=1000000]&quot;$&quot;0,,&quot;M&quot;;[&gt;=1000]&quot;$&quot;0,&quot;K&quot;;0"/>
    </dxf>
    <dxf>
      <numFmt numFmtId="166" formatCode="[&gt;=1000000]&quot;$&quot;0,,&quot;M&quot;;[&gt;=1000]&quot;$&quot;0,&quot;K&quot;;0"/>
    </dxf>
    <dxf>
      <numFmt numFmtId="166" formatCode="[&gt;=1000000]&quot;$&quot;0,,&quot;M&quot;;[&gt;=1000]&quot;$&quot;0,&quot;K&quot;;0"/>
    </dxf>
    <dxf>
      <numFmt numFmtId="165" formatCode="[$-F800]dddd\,\ mmmm\ dd\,\ 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[&gt;=1000000]&quot;$&quot;0,,&quot;M&quot;;[&gt;=1000]&quot;$&quot;0,&quot;K&quot;;0"/>
    </dxf>
    <dxf>
      <numFmt numFmtId="166" formatCode="[&gt;=1000000]&quot;$&quot;0,,&quot;M&quot;;[&gt;=1000]&quot;$&quot;0,&quot;K&quot;;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numFmt numFmtId="168" formatCode="0.0%"/>
    </dxf>
    <dxf>
      <numFmt numFmtId="166" formatCode="[&gt;=1000000]&quot;$&quot;0,,&quot;M&quot;;[&gt;=1000]&quot;$&quot;0,&quot;K&quot;;0"/>
    </dxf>
    <dxf>
      <numFmt numFmtId="166" formatCode="[&gt;=1000000]&quot;$&quot;0,,&quot;M&quot;;[&gt;=1000]&quot;$&quot;0,&quot;K&quot;;0"/>
    </dxf>
    <dxf>
      <numFmt numFmtId="166" formatCode="[&gt;=1000000]&quot;$&quot;0,,&quot;M&quot;;[&gt;=1000]&quot;$&quot;0,&quot;K&quot;;0"/>
    </dxf>
    <dxf>
      <numFmt numFmtId="166" formatCode="[&gt;=1000000]&quot;$&quot;0,,&quot;M&quot;;[&gt;=1000]&quot;$&quot;0,&quot;K&quot;;0"/>
    </dxf>
    <dxf>
      <numFmt numFmtId="34" formatCode="_(&quot;$&quot;* #,##0.00_);_(&quot;$&quot;* \(#,##0.00\);_(&quot;$&quot;* &quot;-&quot;??_);_(@_)"/>
    </dxf>
    <dxf>
      <numFmt numFmtId="166" formatCode="[&gt;=1000000]&quot;$&quot;0,,&quot;M&quot;;[&gt;=1000]&quot;$&quot;0,&quot;K&quot;;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numFmt numFmtId="164" formatCode="[Green]\▲0.00%;[Red]\▼0.00%"/>
    </dxf>
    <dxf>
      <numFmt numFmtId="164" formatCode="[Green]\▲0.00%;[Red]\▼0.00%"/>
    </dxf>
    <dxf>
      <numFmt numFmtId="164" formatCode="[Green]\▲0.00%;[Red]\▼0.00%"/>
    </dxf>
    <dxf>
      <numFmt numFmtId="168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0.xml"/><Relationship Id="rId18" Type="http://schemas.openxmlformats.org/officeDocument/2006/relationships/styles" Target="styles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47" Type="http://schemas.openxmlformats.org/officeDocument/2006/relationships/customXml" Target="../customXml/item26.xml"/><Relationship Id="rId50" Type="http://schemas.openxmlformats.org/officeDocument/2006/relationships/customXml" Target="../customXml/item29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8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45" Type="http://schemas.openxmlformats.org/officeDocument/2006/relationships/customXml" Target="../customXml/item24.xml"/><Relationship Id="rId5" Type="http://schemas.openxmlformats.org/officeDocument/2006/relationships/pivotCacheDefinition" Target="pivotCache/pivotCacheDefinition2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49" Type="http://schemas.openxmlformats.org/officeDocument/2006/relationships/customXml" Target="../customXml/item28.xml"/><Relationship Id="rId10" Type="http://schemas.openxmlformats.org/officeDocument/2006/relationships/pivotCacheDefinition" Target="pivotCache/pivotCacheDefinition7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CacheDefinition" Target="pivotCache/pivotCacheDefinition1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48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9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Relationship Id="rId46" Type="http://schemas.openxmlformats.org/officeDocument/2006/relationships/customXml" Target="../customXml/item25.xml"/><Relationship Id="rId20" Type="http://schemas.openxmlformats.org/officeDocument/2006/relationships/powerPivotData" Target="model/item.data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rebuild.xlsx]Pivot tables!PivotTable2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prstDash val="sysDot"/>
            <a:round/>
          </a:ln>
          <a:effectLst/>
        </c:spPr>
        <c:marker>
          <c:symbol val="circle"/>
          <c:size val="7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tables'!$H$8:$H$20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tables'!$I$8:$I$20</c:f>
              <c:numCache>
                <c:formatCode>[&gt;=1000000]"$"0,,"M";[&gt;=1000]"$"0,"K";0</c:formatCode>
                <c:ptCount val="12"/>
                <c:pt idx="0">
                  <c:v>177052</c:v>
                </c:pt>
                <c:pt idx="1">
                  <c:v>199129</c:v>
                </c:pt>
                <c:pt idx="2">
                  <c:v>230383</c:v>
                </c:pt>
                <c:pt idx="3">
                  <c:v>185792</c:v>
                </c:pt>
                <c:pt idx="4">
                  <c:v>210160</c:v>
                </c:pt>
                <c:pt idx="5">
                  <c:v>193125</c:v>
                </c:pt>
                <c:pt idx="6">
                  <c:v>158674</c:v>
                </c:pt>
                <c:pt idx="7">
                  <c:v>184981</c:v>
                </c:pt>
                <c:pt idx="8">
                  <c:v>172217</c:v>
                </c:pt>
                <c:pt idx="9">
                  <c:v>126306</c:v>
                </c:pt>
                <c:pt idx="10">
                  <c:v>99699</c:v>
                </c:pt>
                <c:pt idx="11">
                  <c:v>91073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4-4BCC-B31C-C5DFB5AD65F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74610128"/>
        <c:axId val="1674596816"/>
      </c:lineChart>
      <c:catAx>
        <c:axId val="167461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596816"/>
        <c:crosses val="autoZero"/>
        <c:auto val="1"/>
        <c:lblAlgn val="ctr"/>
        <c:lblOffset val="100"/>
        <c:noMultiLvlLbl val="0"/>
      </c:catAx>
      <c:valAx>
        <c:axId val="1674596816"/>
        <c:scaling>
          <c:orientation val="minMax"/>
        </c:scaling>
        <c:delete val="1"/>
        <c:axPos val="l"/>
        <c:numFmt formatCode="[&gt;=1000000]&quot;$&quot;0,,&quot;M&quot;;[&gt;=1000]&quot;$&quot;0,&quot;K&quot;;0" sourceLinked="1"/>
        <c:majorTickMark val="none"/>
        <c:minorTickMark val="none"/>
        <c:tickLblPos val="nextTo"/>
        <c:crossAx val="167461012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rebuild.xlsx]Pivot tables!PivotTable7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tables'!$P$11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tables'!$O$12:$O$17</c:f>
              <c:strCache>
                <c:ptCount val="5"/>
                <c:pt idx="0">
                  <c:v>Company I</c:v>
                </c:pt>
                <c:pt idx="1">
                  <c:v>Company N</c:v>
                </c:pt>
                <c:pt idx="2">
                  <c:v>Company M</c:v>
                </c:pt>
                <c:pt idx="3">
                  <c:v>Company S</c:v>
                </c:pt>
                <c:pt idx="4">
                  <c:v>Company D</c:v>
                </c:pt>
              </c:strCache>
            </c:strRef>
          </c:cat>
          <c:val>
            <c:numRef>
              <c:f>'Pivot tables'!$P$12:$P$17</c:f>
              <c:numCache>
                <c:formatCode>[&gt;=1000000]"$"0,,"M";[&gt;=1000]"$"0,"K";0</c:formatCode>
                <c:ptCount val="5"/>
                <c:pt idx="0">
                  <c:v>111991</c:v>
                </c:pt>
                <c:pt idx="1">
                  <c:v>114447</c:v>
                </c:pt>
                <c:pt idx="2">
                  <c:v>115641</c:v>
                </c:pt>
                <c:pt idx="3">
                  <c:v>122085</c:v>
                </c:pt>
                <c:pt idx="4">
                  <c:v>122821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05-4E1A-92F8-F1C5C9611C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5"/>
        <c:axId val="1747441632"/>
        <c:axId val="1747434144"/>
      </c:barChart>
      <c:catAx>
        <c:axId val="17474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434144"/>
        <c:crosses val="autoZero"/>
        <c:auto val="1"/>
        <c:lblAlgn val="ctr"/>
        <c:lblOffset val="100"/>
        <c:noMultiLvlLbl val="0"/>
      </c:catAx>
      <c:valAx>
        <c:axId val="1747434144"/>
        <c:scaling>
          <c:orientation val="minMax"/>
        </c:scaling>
        <c:delete val="1"/>
        <c:axPos val="l"/>
        <c:numFmt formatCode="[&gt;=1000000]&quot;$&quot;0,,&quot;M&quot;;[&gt;=1000]&quot;$&quot;0,&quot;K&quot;;0" sourceLinked="1"/>
        <c:majorTickMark val="none"/>
        <c:minorTickMark val="none"/>
        <c:tickLblPos val="nextTo"/>
        <c:crossAx val="174744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rebuild.xlsx]Pivot tables!PivotTable3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2873561354177002"/>
              <c:y val="-0.1307526704593791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4712641547630873E-2"/>
              <c:y val="0.199569865437999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034481160723156E-2"/>
              <c:y val="0.1720429874465513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505745315486247"/>
              <c:y val="-2.75268779914482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8090516341313593"/>
          <c:y val="1.1370551334105304E-2"/>
          <c:w val="0.37566094659629701"/>
          <c:h val="0.70284951955302422"/>
        </c:manualLayout>
      </c:layout>
      <c:doughnutChart>
        <c:varyColors val="1"/>
        <c:ser>
          <c:idx val="0"/>
          <c:order val="0"/>
          <c:tx>
            <c:strRef>
              <c:f>'Pivot tables'!$I$23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D75-4E56-AC79-1817D3369FC6}"/>
              </c:ext>
            </c:extLst>
          </c:dPt>
          <c:dPt>
            <c:idx val="1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75-4E56-AC79-1817D3369F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D75-4E56-AC79-1817D3369FC6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D75-4E56-AC79-1817D3369FC6}"/>
              </c:ext>
            </c:extLst>
          </c:dPt>
          <c:dLbls>
            <c:dLbl>
              <c:idx val="0"/>
              <c:layout>
                <c:manualLayout>
                  <c:x val="0.12873561354177002"/>
                  <c:y val="-0.1307526704593791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75-4E56-AC79-1817D3369FC6}"/>
                </c:ext>
              </c:extLst>
            </c:dLbl>
            <c:dLbl>
              <c:idx val="1"/>
              <c:layout>
                <c:manualLayout>
                  <c:x val="-1.4712641547630873E-2"/>
                  <c:y val="0.1995698654379997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75-4E56-AC79-1817D3369FC6}"/>
                </c:ext>
              </c:extLst>
            </c:dLbl>
            <c:dLbl>
              <c:idx val="2"/>
              <c:layout>
                <c:manualLayout>
                  <c:x val="1.1034481160723156E-2"/>
                  <c:y val="0.1720429874465513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D75-4E56-AC79-1817D3369FC6}"/>
                </c:ext>
              </c:extLst>
            </c:dLbl>
            <c:dLbl>
              <c:idx val="3"/>
              <c:layout>
                <c:manualLayout>
                  <c:x val="-0.12505745315486247"/>
                  <c:y val="-2.75268779914482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7-8D75-4E56-AC79-1817D3369F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tables'!$H$24:$H$28</c:f>
              <c:strCache>
                <c:ptCount val="4"/>
                <c:pt idx="0">
                  <c:v>Arizona</c:v>
                </c:pt>
                <c:pt idx="1">
                  <c:v>California</c:v>
                </c:pt>
                <c:pt idx="2">
                  <c:v>New Mexico</c:v>
                </c:pt>
                <c:pt idx="3">
                  <c:v>Texas</c:v>
                </c:pt>
              </c:strCache>
            </c:strRef>
          </c:cat>
          <c:val>
            <c:numRef>
              <c:f>'Pivot tables'!$I$24:$I$28</c:f>
              <c:numCache>
                <c:formatCode>[&gt;=1000000]"$"0,,"M";[&gt;=1000]"$"0,"K";0</c:formatCode>
                <c:ptCount val="4"/>
                <c:pt idx="0">
                  <c:v>495353</c:v>
                </c:pt>
                <c:pt idx="1">
                  <c:v>508119</c:v>
                </c:pt>
                <c:pt idx="2">
                  <c:v>492984</c:v>
                </c:pt>
                <c:pt idx="3">
                  <c:v>532135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75-4E56-AC79-1817D3369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8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rebuild.xlsx]Pivot tables!PivotTable4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10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>
                <a:alpha val="0"/>
              </a:schemeClr>
            </a:solidFill>
            <a:round/>
          </a:ln>
          <a:effectLst/>
        </c:spPr>
        <c:marker>
          <c:symbol val="circle"/>
          <c:size val="10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tables'!$I$30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>
                  <a:alpha val="0"/>
                </a:schemeClr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tables'!$H$31:$H$36</c:f>
              <c:strCache>
                <c:ptCount val="5"/>
                <c:pt idx="0">
                  <c:v>Item 1</c:v>
                </c:pt>
                <c:pt idx="1">
                  <c:v>Item 2</c:v>
                </c:pt>
                <c:pt idx="2">
                  <c:v>Item 3</c:v>
                </c:pt>
                <c:pt idx="3">
                  <c:v>Item 4</c:v>
                </c:pt>
                <c:pt idx="4">
                  <c:v>Item 5</c:v>
                </c:pt>
              </c:strCache>
            </c:strRef>
          </c:cat>
          <c:val>
            <c:numRef>
              <c:f>'Pivot tables'!$I$31:$I$36</c:f>
              <c:numCache>
                <c:formatCode>[&gt;=1000000]"$"0,,"M";[&gt;=1000]"$"0,"K";0</c:formatCode>
                <c:ptCount val="5"/>
                <c:pt idx="0">
                  <c:v>736953</c:v>
                </c:pt>
                <c:pt idx="1">
                  <c:v>365762</c:v>
                </c:pt>
                <c:pt idx="2">
                  <c:v>124890</c:v>
                </c:pt>
                <c:pt idx="3">
                  <c:v>301305</c:v>
                </c:pt>
                <c:pt idx="4">
                  <c:v>499681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29-44A5-8AB2-D54C7999B9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19050" cap="flat" cmpd="sng" algn="ctr">
              <a:solidFill>
                <a:schemeClr val="accent1"/>
              </a:solidFill>
              <a:prstDash val="dash"/>
              <a:round/>
            </a:ln>
            <a:effectLst/>
          </c:spPr>
        </c:dropLines>
        <c:marker val="1"/>
        <c:smooth val="0"/>
        <c:axId val="1674597648"/>
        <c:axId val="1674604304"/>
      </c:lineChart>
      <c:catAx>
        <c:axId val="167459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04304"/>
        <c:crosses val="autoZero"/>
        <c:auto val="1"/>
        <c:lblAlgn val="ctr"/>
        <c:lblOffset val="100"/>
        <c:noMultiLvlLbl val="0"/>
      </c:catAx>
      <c:valAx>
        <c:axId val="1674604304"/>
        <c:scaling>
          <c:orientation val="minMax"/>
        </c:scaling>
        <c:delete val="1"/>
        <c:axPos val="l"/>
        <c:numFmt formatCode="[&gt;=1000000]&quot;$&quot;0,,&quot;M&quot;;[&gt;=1000]&quot;$&quot;0,&quot;K&quot;;0" sourceLinked="1"/>
        <c:majorTickMark val="out"/>
        <c:minorTickMark val="none"/>
        <c:tickLblPos val="nextTo"/>
        <c:crossAx val="167459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 rebuild.xlsx]Pivot tables!PivotTable5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943572507754671"/>
          <c:y val="6.926636163684792E-2"/>
          <c:w val="0.69333947691192421"/>
          <c:h val="0.861467276726304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tables'!$N$30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tables'!$M$31:$M$39</c:f>
              <c:strCache>
                <c:ptCount val="8"/>
                <c:pt idx="0">
                  <c:v>Kim Fishman</c:v>
                </c:pt>
                <c:pt idx="1">
                  <c:v>Anne Lee</c:v>
                </c:pt>
                <c:pt idx="2">
                  <c:v>Andrew James</c:v>
                </c:pt>
                <c:pt idx="3">
                  <c:v>Oscar Knox</c:v>
                </c:pt>
                <c:pt idx="4">
                  <c:v>Michael Fox</c:v>
                </c:pt>
                <c:pt idx="5">
                  <c:v>Ben Wallace</c:v>
                </c:pt>
                <c:pt idx="6">
                  <c:v>Laura Larsen</c:v>
                </c:pt>
                <c:pt idx="7">
                  <c:v>Anna Weber</c:v>
                </c:pt>
              </c:strCache>
            </c:strRef>
          </c:cat>
          <c:val>
            <c:numRef>
              <c:f>'Pivot tables'!$N$31:$N$39</c:f>
              <c:numCache>
                <c:formatCode>[&gt;=1000000]"$"0,,"M";[&gt;=1000]"$"0,"K";0</c:formatCode>
                <c:ptCount val="8"/>
                <c:pt idx="0">
                  <c:v>231788</c:v>
                </c:pt>
                <c:pt idx="1">
                  <c:v>241194</c:v>
                </c:pt>
                <c:pt idx="2">
                  <c:v>243681</c:v>
                </c:pt>
                <c:pt idx="3">
                  <c:v>251672</c:v>
                </c:pt>
                <c:pt idx="4">
                  <c:v>251790</c:v>
                </c:pt>
                <c:pt idx="5">
                  <c:v>255757</c:v>
                </c:pt>
                <c:pt idx="6">
                  <c:v>276331</c:v>
                </c:pt>
                <c:pt idx="7">
                  <c:v>276378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7-4EDD-A8E9-7CB7C1A3DB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2"/>
        <c:axId val="1674608880"/>
        <c:axId val="1674614288"/>
      </c:barChart>
      <c:catAx>
        <c:axId val="167460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614288"/>
        <c:crosses val="autoZero"/>
        <c:auto val="1"/>
        <c:lblAlgn val="ctr"/>
        <c:lblOffset val="100"/>
        <c:noMultiLvlLbl val="0"/>
      </c:catAx>
      <c:valAx>
        <c:axId val="1674614288"/>
        <c:scaling>
          <c:orientation val="minMax"/>
        </c:scaling>
        <c:delete val="1"/>
        <c:axPos val="b"/>
        <c:numFmt formatCode="[&gt;=1000000]&quot;$&quot;0,,&quot;M&quot;;[&gt;=1000]&quot;$&quot;0,&quot;K&quot;;0" sourceLinked="1"/>
        <c:majorTickMark val="none"/>
        <c:minorTickMark val="none"/>
        <c:tickLblPos val="nextTo"/>
        <c:crossAx val="16746088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3.xml"/><Relationship Id="rId7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emf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147570</xdr:colOff>
      <xdr:row>2</xdr:row>
      <xdr:rowOff>180474</xdr:rowOff>
    </xdr:from>
    <xdr:to>
      <xdr:col>19</xdr:col>
      <xdr:colOff>111444</xdr:colOff>
      <xdr:row>39</xdr:row>
      <xdr:rowOff>166961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2AA9D214-B7B0-4D0A-89C7-6D21510E171F}"/>
            </a:ext>
          </a:extLst>
        </xdr:cNvPr>
        <xdr:cNvGrpSpPr/>
      </xdr:nvGrpSpPr>
      <xdr:grpSpPr>
        <a:xfrm>
          <a:off x="147570" y="561474"/>
          <a:ext cx="11546274" cy="7034987"/>
          <a:chOff x="147570" y="732485"/>
          <a:chExt cx="11501030" cy="6863976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2BAEC4A5-63A0-4794-91C7-F6720B80FC36}"/>
              </a:ext>
            </a:extLst>
          </xdr:cNvPr>
          <xdr:cNvSpPr/>
        </xdr:nvSpPr>
        <xdr:spPr>
          <a:xfrm>
            <a:off x="147570" y="732485"/>
            <a:ext cx="11501030" cy="6863976"/>
          </a:xfrm>
          <a:prstGeom prst="roundRect">
            <a:avLst>
              <a:gd name="adj" fmla="val 1086"/>
            </a:avLst>
          </a:prstGeom>
          <a:solidFill>
            <a:schemeClr val="tx2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862FE58C-2E7C-4BD5-8399-E0B3B23D94D1}"/>
              </a:ext>
            </a:extLst>
          </xdr:cNvPr>
          <xdr:cNvSpPr/>
        </xdr:nvSpPr>
        <xdr:spPr>
          <a:xfrm>
            <a:off x="309638" y="5088291"/>
            <a:ext cx="3304455" cy="2394210"/>
          </a:xfrm>
          <a:prstGeom prst="roundRect">
            <a:avLst>
              <a:gd name="adj" fmla="val 2721"/>
            </a:avLst>
          </a:prstGeom>
          <a:solidFill>
            <a:srgbClr val="F9F9F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2EEC19DE-A24C-41A6-BF1C-8C2068412336}"/>
              </a:ext>
            </a:extLst>
          </xdr:cNvPr>
          <xdr:cNvSpPr/>
        </xdr:nvSpPr>
        <xdr:spPr>
          <a:xfrm>
            <a:off x="3720237" y="5089611"/>
            <a:ext cx="3446859" cy="2360413"/>
          </a:xfrm>
          <a:prstGeom prst="roundRect">
            <a:avLst>
              <a:gd name="adj" fmla="val 2721"/>
            </a:avLst>
          </a:prstGeom>
          <a:solidFill>
            <a:srgbClr val="F9F9F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67D8C42F-C4CA-4CAE-B12B-D5EF036FD7F9}"/>
              </a:ext>
            </a:extLst>
          </xdr:cNvPr>
          <xdr:cNvSpPr/>
        </xdr:nvSpPr>
        <xdr:spPr>
          <a:xfrm>
            <a:off x="7276050" y="2351245"/>
            <a:ext cx="4223124" cy="5098780"/>
          </a:xfrm>
          <a:prstGeom prst="roundRect">
            <a:avLst>
              <a:gd name="adj" fmla="val 2721"/>
            </a:avLst>
          </a:prstGeom>
          <a:solidFill>
            <a:srgbClr val="F9F9F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1" name="Rectangle: Rounded Corners 30">
            <a:extLst>
              <a:ext uri="{FF2B5EF4-FFF2-40B4-BE49-F238E27FC236}">
                <a16:creationId xmlns:a16="http://schemas.microsoft.com/office/drawing/2014/main" id="{1867AB5E-1D98-4DA5-B963-AA802F43C3DF}"/>
              </a:ext>
            </a:extLst>
          </xdr:cNvPr>
          <xdr:cNvSpPr/>
        </xdr:nvSpPr>
        <xdr:spPr>
          <a:xfrm>
            <a:off x="309637" y="2339927"/>
            <a:ext cx="6824008" cy="2623086"/>
          </a:xfrm>
          <a:prstGeom prst="roundRect">
            <a:avLst>
              <a:gd name="adj" fmla="val 2721"/>
            </a:avLst>
          </a:prstGeom>
          <a:solidFill>
            <a:srgbClr val="F9F9F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4083B209-1CB7-4BA6-A809-46B4CCC6E824}"/>
              </a:ext>
            </a:extLst>
          </xdr:cNvPr>
          <xdr:cNvSpPr/>
        </xdr:nvSpPr>
        <xdr:spPr>
          <a:xfrm>
            <a:off x="497719" y="806826"/>
            <a:ext cx="6626094" cy="1275294"/>
          </a:xfrm>
          <a:prstGeom prst="roundRect">
            <a:avLst>
              <a:gd name="adj" fmla="val 4700"/>
            </a:avLst>
          </a:prstGeom>
          <a:solidFill>
            <a:schemeClr val="accent1">
              <a:alpha val="90000"/>
            </a:schemeClr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4E401A9B-8F10-4BF8-BCB3-2A0E2803521A}"/>
              </a:ext>
            </a:extLst>
          </xdr:cNvPr>
          <xdr:cNvSpPr/>
        </xdr:nvSpPr>
        <xdr:spPr>
          <a:xfrm>
            <a:off x="299806" y="1224165"/>
            <a:ext cx="6826401" cy="993943"/>
          </a:xfrm>
          <a:prstGeom prst="roundRect">
            <a:avLst>
              <a:gd name="adj" fmla="val 5709"/>
            </a:avLst>
          </a:prstGeom>
          <a:solidFill>
            <a:srgbClr val="F9F9F9"/>
          </a:solidFill>
          <a:ln>
            <a:noFill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37" name="TextBox 11">
            <a:extLst>
              <a:ext uri="{FF2B5EF4-FFF2-40B4-BE49-F238E27FC236}">
                <a16:creationId xmlns:a16="http://schemas.microsoft.com/office/drawing/2014/main" id="{5E8234BB-5A79-4E82-B37D-CD8C35BED162}"/>
              </a:ext>
            </a:extLst>
          </xdr:cNvPr>
          <xdr:cNvSpPr txBox="1"/>
        </xdr:nvSpPr>
        <xdr:spPr>
          <a:xfrm flipH="1">
            <a:off x="495325" y="812547"/>
            <a:ext cx="2713739" cy="37452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>
                <a:solidFill>
                  <a:schemeClr val="bg1"/>
                </a:solidFill>
              </a:rPr>
              <a:t>Sales Dashboard</a:t>
            </a:r>
          </a:p>
        </xdr:txBody>
      </xdr:sp>
    </xdr:grpSp>
    <xdr:clientData/>
  </xdr:twoCellAnchor>
  <xdr:twoCellAnchor>
    <xdr:from>
      <xdr:col>0</xdr:col>
      <xdr:colOff>366714</xdr:colOff>
      <xdr:row>15</xdr:row>
      <xdr:rowOff>62803</xdr:rowOff>
    </xdr:from>
    <xdr:to>
      <xdr:col>11</xdr:col>
      <xdr:colOff>344562</xdr:colOff>
      <xdr:row>25</xdr:row>
      <xdr:rowOff>104967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F17A230-1C25-43D5-91F1-3F252D985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119062</xdr:colOff>
      <xdr:row>27</xdr:row>
      <xdr:rowOff>178595</xdr:rowOff>
    </xdr:from>
    <xdr:to>
      <xdr:col>18</xdr:col>
      <xdr:colOff>404813</xdr:colOff>
      <xdr:row>38</xdr:row>
      <xdr:rowOff>154781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369CE88-6FCA-4DE3-B1AF-3642429E55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59531</xdr:colOff>
      <xdr:row>29</xdr:row>
      <xdr:rowOff>9922</xdr:rowOff>
    </xdr:from>
    <xdr:to>
      <xdr:col>11</xdr:col>
      <xdr:colOff>476251</xdr:colOff>
      <xdr:row>39</xdr:row>
      <xdr:rowOff>11907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35F7235-CA8A-46DB-9775-88E0A07B08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333376</xdr:colOff>
      <xdr:row>29</xdr:row>
      <xdr:rowOff>180398</xdr:rowOff>
    </xdr:from>
    <xdr:to>
      <xdr:col>5</xdr:col>
      <xdr:colOff>547688</xdr:colOff>
      <xdr:row>39</xdr:row>
      <xdr:rowOff>47625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3CBBC8BB-7CA4-4784-89EC-F4796BE130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83345</xdr:colOff>
      <xdr:row>14</xdr:row>
      <xdr:rowOff>183510</xdr:rowOff>
    </xdr:from>
    <xdr:to>
      <xdr:col>18</xdr:col>
      <xdr:colOff>380999</xdr:colOff>
      <xdr:row>25</xdr:row>
      <xdr:rowOff>104862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4B097EBC-8F96-4CA5-91A1-DFFFAB975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444745</xdr:colOff>
      <xdr:row>13</xdr:row>
      <xdr:rowOff>60340</xdr:rowOff>
    </xdr:from>
    <xdr:to>
      <xdr:col>6</xdr:col>
      <xdr:colOff>516182</xdr:colOff>
      <xdr:row>14</xdr:row>
      <xdr:rowOff>103457</xdr:rowOff>
    </xdr:to>
    <xdr:sp macro="" textlink="Highestmonth">
      <xdr:nvSpPr>
        <xdr:cNvPr id="42" name="TextBox 41">
          <a:extLst>
            <a:ext uri="{FF2B5EF4-FFF2-40B4-BE49-F238E27FC236}">
              <a16:creationId xmlns:a16="http://schemas.microsoft.com/office/drawing/2014/main" id="{A56A4D87-61D6-41E4-9D6B-B035CA9AD188}"/>
            </a:ext>
          </a:extLst>
        </xdr:cNvPr>
        <xdr:cNvSpPr txBox="1"/>
      </xdr:nvSpPr>
      <xdr:spPr>
        <a:xfrm>
          <a:off x="444745" y="2559560"/>
          <a:ext cx="3741620" cy="235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649D113-9DF4-4DBB-98FD-F110201AD362}" type="TxLink">
            <a:rPr lang="en-US" sz="1100" b="0" i="0" u="none" strike="noStrike">
              <a:solidFill>
                <a:schemeClr val="bg2">
                  <a:lumMod val="10000"/>
                </a:schemeClr>
              </a:solidFill>
              <a:latin typeface="Calibri"/>
              <a:cs typeface="Calibri"/>
            </a:rPr>
            <a:pPr/>
            <a:t>The Month with the highest revenue is Mar with $230,383</a:t>
          </a:fld>
          <a:endParaRPr lang="en-US" sz="11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0</xdr:col>
      <xdr:colOff>461963</xdr:colOff>
      <xdr:row>12</xdr:row>
      <xdr:rowOff>57151</xdr:rowOff>
    </xdr:from>
    <xdr:to>
      <xdr:col>6</xdr:col>
      <xdr:colOff>533400</xdr:colOff>
      <xdr:row>13</xdr:row>
      <xdr:rowOff>160711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AA872995-3473-41B4-8C38-A224DE393893}"/>
            </a:ext>
          </a:extLst>
        </xdr:cNvPr>
        <xdr:cNvSpPr txBox="1"/>
      </xdr:nvSpPr>
      <xdr:spPr>
        <a:xfrm>
          <a:off x="461963" y="2361966"/>
          <a:ext cx="3740326" cy="2956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t>Revenue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t> by Month</a:t>
          </a:r>
          <a:endParaRPr lang="en-US" sz="1400" b="1" i="0" u="none" strike="noStrike">
            <a:solidFill>
              <a:schemeClr val="accent1">
                <a:lumMod val="75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278373</xdr:colOff>
      <xdr:row>27</xdr:row>
      <xdr:rowOff>109798</xdr:rowOff>
    </xdr:from>
    <xdr:to>
      <xdr:col>6</xdr:col>
      <xdr:colOff>33034</xdr:colOff>
      <xdr:row>29</xdr:row>
      <xdr:rowOff>180064</xdr:rowOff>
    </xdr:to>
    <xdr:sp macro="" textlink="highestitem">
      <xdr:nvSpPr>
        <xdr:cNvPr id="46" name="TextBox 45">
          <a:extLst>
            <a:ext uri="{FF2B5EF4-FFF2-40B4-BE49-F238E27FC236}">
              <a16:creationId xmlns:a16="http://schemas.microsoft.com/office/drawing/2014/main" id="{1013E593-86AD-4E50-8D7C-121E327F1E86}"/>
            </a:ext>
          </a:extLst>
        </xdr:cNvPr>
        <xdr:cNvSpPr txBox="1"/>
      </xdr:nvSpPr>
      <xdr:spPr>
        <a:xfrm>
          <a:off x="278373" y="5300486"/>
          <a:ext cx="3424844" cy="4547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C1F09A9B-78B9-403E-B2A2-ACFB579F627C}" type="TxLink">
            <a:rPr lang="en-US" sz="1100" b="0" i="0" u="none" strike="noStrike">
              <a:solidFill>
                <a:schemeClr val="bg2">
                  <a:lumMod val="10000"/>
                </a:schemeClr>
              </a:solidFill>
              <a:latin typeface="Calibri"/>
              <a:ea typeface="+mn-ea"/>
              <a:cs typeface="Calibri"/>
            </a:rPr>
            <a:pPr marL="0" indent="0" algn="l"/>
            <a:t>The Item with the highest revenue is Item 1 with $736,953</a:t>
          </a:fld>
          <a:endParaRPr lang="en-US" sz="1100" b="0" i="0" u="none" strike="noStrike">
            <a:solidFill>
              <a:schemeClr val="bg2">
                <a:lumMod val="10000"/>
              </a:schemeClr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300353</xdr:colOff>
      <xdr:row>26</xdr:row>
      <xdr:rowOff>115348</xdr:rowOff>
    </xdr:from>
    <xdr:to>
      <xdr:col>5</xdr:col>
      <xdr:colOff>310285</xdr:colOff>
      <xdr:row>28</xdr:row>
      <xdr:rowOff>30501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5D61530-F8DF-4060-8A00-56A5BEF9959E}"/>
            </a:ext>
          </a:extLst>
        </xdr:cNvPr>
        <xdr:cNvSpPr txBox="1"/>
      </xdr:nvSpPr>
      <xdr:spPr>
        <a:xfrm>
          <a:off x="300353" y="4993303"/>
          <a:ext cx="3040614" cy="290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+mn-ea"/>
              <a:cs typeface="Calibri"/>
            </a:rPr>
            <a:t>Revenue by Item</a:t>
          </a:r>
        </a:p>
      </xdr:txBody>
    </xdr:sp>
    <xdr:clientData/>
  </xdr:twoCellAnchor>
  <xdr:twoCellAnchor>
    <xdr:from>
      <xdr:col>5</xdr:col>
      <xdr:colOff>600999</xdr:colOff>
      <xdr:row>27</xdr:row>
      <xdr:rowOff>141248</xdr:rowOff>
    </xdr:from>
    <xdr:to>
      <xdr:col>11</xdr:col>
      <xdr:colOff>541820</xdr:colOff>
      <xdr:row>28</xdr:row>
      <xdr:rowOff>184365</xdr:rowOff>
    </xdr:to>
    <xdr:sp macro="" textlink="highestregion">
      <xdr:nvSpPr>
        <xdr:cNvPr id="48" name="TextBox 47">
          <a:extLst>
            <a:ext uri="{FF2B5EF4-FFF2-40B4-BE49-F238E27FC236}">
              <a16:creationId xmlns:a16="http://schemas.microsoft.com/office/drawing/2014/main" id="{929198D1-056B-41A9-B5C0-6836AD0B5769}"/>
            </a:ext>
          </a:extLst>
        </xdr:cNvPr>
        <xdr:cNvSpPr txBox="1"/>
      </xdr:nvSpPr>
      <xdr:spPr>
        <a:xfrm>
          <a:off x="3659485" y="5331936"/>
          <a:ext cx="3611005" cy="235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7BC3FAF-CF6B-47C1-BA61-D083A80C1783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The Region with the highest revenue is Texas with $532,135</a:t>
          </a:fld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35256</xdr:colOff>
      <xdr:row>26</xdr:row>
      <xdr:rowOff>125590</xdr:rowOff>
    </xdr:from>
    <xdr:to>
      <xdr:col>12</xdr:col>
      <xdr:colOff>106692</xdr:colOff>
      <xdr:row>28</xdr:row>
      <xdr:rowOff>40633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8D17D33B-465E-41C6-B963-769C38FEEF63}"/>
            </a:ext>
          </a:extLst>
        </xdr:cNvPr>
        <xdr:cNvSpPr txBox="1"/>
      </xdr:nvSpPr>
      <xdr:spPr>
        <a:xfrm>
          <a:off x="3666662" y="5026996"/>
          <a:ext cx="3702843" cy="292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+mn-ea"/>
              <a:cs typeface="Calibri"/>
            </a:rPr>
            <a:t>Revenue by Region</a:t>
          </a:r>
        </a:p>
      </xdr:txBody>
    </xdr:sp>
    <xdr:clientData/>
  </xdr:twoCellAnchor>
  <xdr:twoCellAnchor>
    <xdr:from>
      <xdr:col>11</xdr:col>
      <xdr:colOff>562190</xdr:colOff>
      <xdr:row>13</xdr:row>
      <xdr:rowOff>81662</xdr:rowOff>
    </xdr:from>
    <xdr:to>
      <xdr:col>19</xdr:col>
      <xdr:colOff>52430</xdr:colOff>
      <xdr:row>14</xdr:row>
      <xdr:rowOff>124779</xdr:rowOff>
    </xdr:to>
    <xdr:sp macro="" textlink="highestsalesperson">
      <xdr:nvSpPr>
        <xdr:cNvPr id="50" name="TextBox 49">
          <a:extLst>
            <a:ext uri="{FF2B5EF4-FFF2-40B4-BE49-F238E27FC236}">
              <a16:creationId xmlns:a16="http://schemas.microsoft.com/office/drawing/2014/main" id="{3DAE35A1-513E-4E76-AF99-AABB70A113E9}"/>
            </a:ext>
          </a:extLst>
        </xdr:cNvPr>
        <xdr:cNvSpPr txBox="1"/>
      </xdr:nvSpPr>
      <xdr:spPr>
        <a:xfrm>
          <a:off x="7297726" y="2513939"/>
          <a:ext cx="4388811" cy="230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4542B2C-4191-4ED6-B820-F611B5FFE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The Sales Person  with the highest revenue is Anna Weber with $276,378</a:t>
          </a:fld>
          <a:endParaRPr lang="en-US" sz="1100">
            <a:solidFill>
              <a:schemeClr val="bg2">
                <a:lumMod val="10000"/>
              </a:schemeClr>
            </a:solidFill>
          </a:endParaRPr>
        </a:p>
      </xdr:txBody>
    </xdr:sp>
    <xdr:clientData/>
  </xdr:twoCellAnchor>
  <xdr:twoCellAnchor>
    <xdr:from>
      <xdr:col>11</xdr:col>
      <xdr:colOff>588147</xdr:colOff>
      <xdr:row>12</xdr:row>
      <xdr:rowOff>78473</xdr:rowOff>
    </xdr:from>
    <xdr:to>
      <xdr:col>18</xdr:col>
      <xdr:colOff>47887</xdr:colOff>
      <xdr:row>13</xdr:row>
      <xdr:rowOff>182033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66F42575-856E-40DB-BAB7-C67FABC08B7E}"/>
            </a:ext>
          </a:extLst>
        </xdr:cNvPr>
        <xdr:cNvSpPr txBox="1"/>
      </xdr:nvSpPr>
      <xdr:spPr>
        <a:xfrm>
          <a:off x="7316817" y="2385445"/>
          <a:ext cx="3741620" cy="2958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t>Revenue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t> by Sales Person</a:t>
          </a:r>
          <a:endParaRPr lang="en-US" sz="1400" b="1" i="0" u="none" strike="noStrike">
            <a:solidFill>
              <a:schemeClr val="accent1">
                <a:lumMod val="75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12</xdr:col>
      <xdr:colOff>17009</xdr:colOff>
      <xdr:row>26</xdr:row>
      <xdr:rowOff>81370</xdr:rowOff>
    </xdr:from>
    <xdr:to>
      <xdr:col>18</xdr:col>
      <xdr:colOff>518771</xdr:colOff>
      <xdr:row>27</xdr:row>
      <xdr:rowOff>124487</xdr:rowOff>
    </xdr:to>
    <xdr:sp macro="" textlink="highestcustomer">
      <xdr:nvSpPr>
        <xdr:cNvPr id="52" name="TextBox 51">
          <a:extLst>
            <a:ext uri="{FF2B5EF4-FFF2-40B4-BE49-F238E27FC236}">
              <a16:creationId xmlns:a16="http://schemas.microsoft.com/office/drawing/2014/main" id="{FA45B0B7-210F-44FC-9C19-1BDE3B206B5D}"/>
            </a:ext>
          </a:extLst>
        </xdr:cNvPr>
        <xdr:cNvSpPr txBox="1"/>
      </xdr:nvSpPr>
      <xdr:spPr>
        <a:xfrm>
          <a:off x="7364866" y="4945924"/>
          <a:ext cx="4175691" cy="2302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A144C27-D0B4-4872-B55F-B66F23A13647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/>
            <a:t>The Customer with the highest revenue is Company D with $122,821</a:t>
          </a:fld>
          <a:endParaRPr lang="en-US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34228</xdr:colOff>
      <xdr:row>25</xdr:row>
      <xdr:rowOff>85042</xdr:rowOff>
    </xdr:from>
    <xdr:to>
      <xdr:col>18</xdr:col>
      <xdr:colOff>105665</xdr:colOff>
      <xdr:row>27</xdr:row>
      <xdr:rowOff>1503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F3ABC47D-76A2-4BDB-AF98-FF0A7E7FDAEE}"/>
            </a:ext>
          </a:extLst>
        </xdr:cNvPr>
        <xdr:cNvSpPr txBox="1"/>
      </xdr:nvSpPr>
      <xdr:spPr>
        <a:xfrm>
          <a:off x="7382085" y="4762497"/>
          <a:ext cx="3745366" cy="290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t>Revenue</a:t>
          </a:r>
          <a:r>
            <a:rPr lang="en-US" sz="1400" b="1" i="0" u="none" strike="noStrike" baseline="0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t> by Customer</a:t>
          </a:r>
          <a:endParaRPr lang="en-US" sz="1400" b="1" i="0" u="none" strike="noStrike">
            <a:solidFill>
              <a:schemeClr val="accent1">
                <a:lumMod val="75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445325</xdr:colOff>
      <xdr:row>5</xdr:row>
      <xdr:rowOff>135963</xdr:rowOff>
    </xdr:from>
    <xdr:to>
      <xdr:col>11</xdr:col>
      <xdr:colOff>425087</xdr:colOff>
      <xdr:row>10</xdr:row>
      <xdr:rowOff>149071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57C0F147-8F1E-49C2-8D36-22C1ADEAEDCB}"/>
            </a:ext>
          </a:extLst>
        </xdr:cNvPr>
        <xdr:cNvGrpSpPr/>
      </xdr:nvGrpSpPr>
      <xdr:grpSpPr>
        <a:xfrm>
          <a:off x="5322125" y="1088463"/>
          <a:ext cx="1808562" cy="965608"/>
          <a:chOff x="4471032" y="1173079"/>
          <a:chExt cx="1814578" cy="965608"/>
        </a:xfrm>
      </xdr:grpSpPr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840E528D-A9BE-45F0-8C2F-E18CB9B35DC3}"/>
              </a:ext>
            </a:extLst>
          </xdr:cNvPr>
          <xdr:cNvSpPr txBox="1"/>
        </xdr:nvSpPr>
        <xdr:spPr>
          <a:xfrm>
            <a:off x="4471032" y="1173079"/>
            <a:ext cx="1814578" cy="291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cs typeface="Calibri"/>
              </a:rPr>
              <a:t>Total Customers</a:t>
            </a:r>
          </a:p>
        </xdr:txBody>
      </xdr:sp>
      <xdr:sp macro="" textlink="customers">
        <xdr:nvSpPr>
          <xdr:cNvPr id="80" name="TextBox 79">
            <a:extLst>
              <a:ext uri="{FF2B5EF4-FFF2-40B4-BE49-F238E27FC236}">
                <a16:creationId xmlns:a16="http://schemas.microsoft.com/office/drawing/2014/main" id="{D4EE7270-6711-428B-B043-66AB166B27C1}"/>
              </a:ext>
            </a:extLst>
          </xdr:cNvPr>
          <xdr:cNvSpPr txBox="1"/>
        </xdr:nvSpPr>
        <xdr:spPr>
          <a:xfrm>
            <a:off x="4728752" y="1462585"/>
            <a:ext cx="1299139" cy="3384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fld id="{7B3C59CC-8681-4CE4-AF61-26B91A621118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20</a:t>
            </a:fld>
            <a:endPara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DC2BCFD6-DCB9-44F6-9DEB-DA2A2BC3199D}"/>
              </a:ext>
            </a:extLst>
          </xdr:cNvPr>
          <xdr:cNvGrpSpPr/>
        </xdr:nvGrpSpPr>
        <xdr:grpSpPr>
          <a:xfrm>
            <a:off x="4751101" y="1916234"/>
            <a:ext cx="1254441" cy="222453"/>
            <a:chOff x="5623580" y="1944012"/>
            <a:chExt cx="1249869" cy="221052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00" name="Picture 99">
                  <a:extLst>
                    <a:ext uri="{FF2B5EF4-FFF2-40B4-BE49-F238E27FC236}">
                      <a16:creationId xmlns:a16="http://schemas.microsoft.com/office/drawing/2014/main" id="{894B973A-018C-4C6D-AD1E-20D547900384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Pivot tables'!$D$16" spid="_x0000_s1340"/>
                    </a:ext>
                  </a:extLst>
                </xdr:cNvPicPr>
              </xdr:nvPicPr>
              <xdr:blipFill>
                <a:blip xmlns:r="http://schemas.openxmlformats.org/officeDocument/2006/relationships" r:embed="rId6"/>
                <a:srcRect/>
                <a:stretch>
                  <a:fillRect/>
                </a:stretch>
              </xdr:blipFill>
              <xdr:spPr bwMode="auto">
                <a:xfrm>
                  <a:off x="5623580" y="1966439"/>
                  <a:ext cx="815694" cy="198625"/>
                </a:xfrm>
                <a:prstGeom prst="rect">
                  <a:avLst/>
                </a:prstGeom>
                <a:solidFill>
                  <a:schemeClr val="accent1"/>
                </a:solidFill>
                <a:ln>
                  <a:noFill/>
                </a:ln>
              </xdr:spPr>
            </xdr:pic>
          </mc:Choice>
          <mc:Fallback xmlns=""/>
        </mc:AlternateContent>
        <xdr:grpSp>
          <xdr:nvGrpSpPr>
            <xdr:cNvPr id="96" name="Group 95">
              <a:extLst>
                <a:ext uri="{FF2B5EF4-FFF2-40B4-BE49-F238E27FC236}">
                  <a16:creationId xmlns:a16="http://schemas.microsoft.com/office/drawing/2014/main" id="{E77B74EF-131C-4B90-AC0D-5EBEDABF5150}"/>
                </a:ext>
              </a:extLst>
            </xdr:cNvPr>
            <xdr:cNvGrpSpPr/>
          </xdr:nvGrpSpPr>
          <xdr:grpSpPr>
            <a:xfrm>
              <a:off x="5625138" y="1944012"/>
              <a:ext cx="1248311" cy="220074"/>
              <a:chOff x="783870" y="1851660"/>
              <a:chExt cx="878786" cy="201930"/>
            </a:xfrm>
          </xdr:grpSpPr>
          <xdr:sp macro="" textlink="">
            <xdr:nvSpPr>
              <xdr:cNvPr id="97" name="TextBox 96">
                <a:extLst>
                  <a:ext uri="{FF2B5EF4-FFF2-40B4-BE49-F238E27FC236}">
                    <a16:creationId xmlns:a16="http://schemas.microsoft.com/office/drawing/2014/main" id="{DB635E25-149A-486F-8218-8889AC0836BA}"/>
                  </a:ext>
                </a:extLst>
              </xdr:cNvPr>
              <xdr:cNvSpPr txBox="1"/>
            </xdr:nvSpPr>
            <xdr:spPr>
              <a:xfrm>
                <a:off x="1312456" y="1851660"/>
                <a:ext cx="350200" cy="20193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lang="en-US" sz="1100">
                    <a:solidFill>
                      <a:schemeClr val="bg2">
                        <a:lumMod val="50000"/>
                      </a:schemeClr>
                    </a:solidFill>
                  </a:rPr>
                  <a:t>vs PY</a:t>
                </a:r>
              </a:p>
            </xdr:txBody>
          </xdr:sp>
          <xdr:sp macro="" textlink="">
            <xdr:nvSpPr>
              <xdr:cNvPr id="98" name="Rectangle 97">
                <a:extLst>
                  <a:ext uri="{FF2B5EF4-FFF2-40B4-BE49-F238E27FC236}">
                    <a16:creationId xmlns:a16="http://schemas.microsoft.com/office/drawing/2014/main" id="{76FFAB9D-E7ED-477B-B73E-BB79FCCCB8B7}"/>
                  </a:ext>
                </a:extLst>
              </xdr:cNvPr>
              <xdr:cNvSpPr/>
            </xdr:nvSpPr>
            <xdr:spPr>
              <a:xfrm>
                <a:off x="783870" y="1868580"/>
                <a:ext cx="875311" cy="182096"/>
              </a:xfrm>
              <a:prstGeom prst="rect">
                <a:avLst/>
              </a:prstGeom>
              <a:noFill/>
              <a:ln w="952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>
                  <a:noFill/>
                </a:endParaRPr>
              </a:p>
            </xdr:txBody>
          </xdr:sp>
        </xdr:grpSp>
      </xdr:grpSp>
    </xdr:grpSp>
    <xdr:clientData/>
  </xdr:twoCellAnchor>
  <xdr:twoCellAnchor>
    <xdr:from>
      <xdr:col>0</xdr:col>
      <xdr:colOff>365692</xdr:colOff>
      <xdr:row>5</xdr:row>
      <xdr:rowOff>166783</xdr:rowOff>
    </xdr:from>
    <xdr:to>
      <xdr:col>2</xdr:col>
      <xdr:colOff>468551</xdr:colOff>
      <xdr:row>10</xdr:row>
      <xdr:rowOff>118251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AA31822E-C348-41FB-A94E-E91F25C482D0}"/>
            </a:ext>
          </a:extLst>
        </xdr:cNvPr>
        <xdr:cNvGrpSpPr/>
      </xdr:nvGrpSpPr>
      <xdr:grpSpPr>
        <a:xfrm>
          <a:off x="365692" y="1119283"/>
          <a:ext cx="1322059" cy="903968"/>
          <a:chOff x="601311" y="1217629"/>
          <a:chExt cx="1324367" cy="894982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ED63BC95-C7B2-497A-AD79-EBD3E40894BB}"/>
              </a:ext>
            </a:extLst>
          </xdr:cNvPr>
          <xdr:cNvSpPr txBox="1"/>
        </xdr:nvSpPr>
        <xdr:spPr>
          <a:xfrm>
            <a:off x="601311" y="1217629"/>
            <a:ext cx="1324367" cy="290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cs typeface="Calibri"/>
              </a:rPr>
              <a:t>Total Revenue</a:t>
            </a:r>
          </a:p>
        </xdr:txBody>
      </xdr:sp>
      <xdr:sp macro="" textlink="Revenue">
        <xdr:nvSpPr>
          <xdr:cNvPr id="55" name="TextBox 54">
            <a:extLst>
              <a:ext uri="{FF2B5EF4-FFF2-40B4-BE49-F238E27FC236}">
                <a16:creationId xmlns:a16="http://schemas.microsoft.com/office/drawing/2014/main" id="{20264901-8895-4FB6-92BF-332CCD438656}"/>
              </a:ext>
            </a:extLst>
          </xdr:cNvPr>
          <xdr:cNvSpPr txBox="1"/>
        </xdr:nvSpPr>
        <xdr:spPr>
          <a:xfrm>
            <a:off x="832875" y="1441248"/>
            <a:ext cx="861238" cy="4030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C4D383DC-2F62-4602-8412-00062E8C1CB2}" type="TxLink">
              <a:rPr lang="en-US" sz="24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$2M</a:t>
            </a:fld>
            <a:endParaRPr lang="en-US" sz="2400" b="1">
              <a:solidFill>
                <a:schemeClr val="bg2">
                  <a:lumMod val="10000"/>
                </a:schemeClr>
              </a:solidFill>
            </a:endParaRPr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72D293B-A9B5-48DD-8C0B-89C79F3321F4}"/>
              </a:ext>
            </a:extLst>
          </xdr:cNvPr>
          <xdr:cNvGrpSpPr/>
        </xdr:nvGrpSpPr>
        <xdr:grpSpPr>
          <a:xfrm>
            <a:off x="634889" y="1892933"/>
            <a:ext cx="1257211" cy="219678"/>
            <a:chOff x="582562" y="1910905"/>
            <a:chExt cx="1252819" cy="221475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08" name="Picture 107">
                  <a:extLst>
                    <a:ext uri="{FF2B5EF4-FFF2-40B4-BE49-F238E27FC236}">
                      <a16:creationId xmlns:a16="http://schemas.microsoft.com/office/drawing/2014/main" id="{2680A650-E4BB-4F04-86DE-A8B4A0124B18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Pivot tables'!$G$16" spid="_x0000_s1341"/>
                    </a:ext>
                  </a:extLst>
                </xdr:cNvPicPr>
              </xdr:nvPicPr>
              <xdr:blipFill>
                <a:blip xmlns:r="http://schemas.openxmlformats.org/officeDocument/2006/relationships" r:embed="rId7"/>
                <a:srcRect/>
                <a:stretch>
                  <a:fillRect/>
                </a:stretch>
              </xdr:blipFill>
              <xdr:spPr bwMode="auto">
                <a:xfrm>
                  <a:off x="582562" y="1924347"/>
                  <a:ext cx="817491" cy="206871"/>
                </a:xfrm>
                <a:prstGeom prst="rect">
                  <a:avLst/>
                </a:prstGeom>
                <a:solidFill>
                  <a:schemeClr val="accent1"/>
                </a:solidFill>
                <a:ln>
                  <a:noFill/>
                </a:ln>
              </xdr:spPr>
            </xdr:pic>
          </mc:Choice>
          <mc:Fallback xmlns=""/>
        </mc:AlternateContent>
        <xdr:grpSp>
          <xdr:nvGrpSpPr>
            <xdr:cNvPr id="104" name="Group 103">
              <a:extLst>
                <a:ext uri="{FF2B5EF4-FFF2-40B4-BE49-F238E27FC236}">
                  <a16:creationId xmlns:a16="http://schemas.microsoft.com/office/drawing/2014/main" id="{7581414B-767E-49BB-AFAB-8868CCBF1CF5}"/>
                </a:ext>
              </a:extLst>
            </xdr:cNvPr>
            <xdr:cNvGrpSpPr/>
          </xdr:nvGrpSpPr>
          <xdr:grpSpPr>
            <a:xfrm>
              <a:off x="586230" y="1910905"/>
              <a:ext cx="1249151" cy="221475"/>
              <a:chOff x="783870" y="1851660"/>
              <a:chExt cx="878786" cy="201930"/>
            </a:xfrm>
          </xdr:grpSpPr>
          <xdr:sp macro="" textlink="">
            <xdr:nvSpPr>
              <xdr:cNvPr id="105" name="TextBox 104">
                <a:extLst>
                  <a:ext uri="{FF2B5EF4-FFF2-40B4-BE49-F238E27FC236}">
                    <a16:creationId xmlns:a16="http://schemas.microsoft.com/office/drawing/2014/main" id="{450A1869-8A1A-476D-AC14-2129C9E2BFFD}"/>
                  </a:ext>
                </a:extLst>
              </xdr:cNvPr>
              <xdr:cNvSpPr txBox="1"/>
            </xdr:nvSpPr>
            <xdr:spPr>
              <a:xfrm>
                <a:off x="1312456" y="1851660"/>
                <a:ext cx="350200" cy="20193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lang="en-US" sz="1100">
                    <a:solidFill>
                      <a:schemeClr val="bg2">
                        <a:lumMod val="50000"/>
                      </a:schemeClr>
                    </a:solidFill>
                  </a:rPr>
                  <a:t>vs PY</a:t>
                </a:r>
              </a:p>
            </xdr:txBody>
          </xdr:sp>
          <xdr:sp macro="" textlink="">
            <xdr:nvSpPr>
              <xdr:cNvPr id="106" name="Rectangle 105">
                <a:extLst>
                  <a:ext uri="{FF2B5EF4-FFF2-40B4-BE49-F238E27FC236}">
                    <a16:creationId xmlns:a16="http://schemas.microsoft.com/office/drawing/2014/main" id="{2DA79B3A-3266-4E01-A8F2-BB9CAE595683}"/>
                  </a:ext>
                </a:extLst>
              </xdr:cNvPr>
              <xdr:cNvSpPr/>
            </xdr:nvSpPr>
            <xdr:spPr>
              <a:xfrm>
                <a:off x="783870" y="1868580"/>
                <a:ext cx="875311" cy="182096"/>
              </a:xfrm>
              <a:prstGeom prst="rect">
                <a:avLst/>
              </a:prstGeom>
              <a:noFill/>
              <a:ln w="952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>
                  <a:noFill/>
                </a:endParaRPr>
              </a:p>
            </xdr:txBody>
          </xdr:sp>
        </xdr:grpSp>
      </xdr:grpSp>
    </xdr:grpSp>
    <xdr:clientData/>
  </xdr:twoCellAnchor>
  <xdr:twoCellAnchor>
    <xdr:from>
      <xdr:col>3</xdr:col>
      <xdr:colOff>227853</xdr:colOff>
      <xdr:row>5</xdr:row>
      <xdr:rowOff>166783</xdr:rowOff>
    </xdr:from>
    <xdr:to>
      <xdr:col>5</xdr:col>
      <xdr:colOff>152631</xdr:colOff>
      <xdr:row>10</xdr:row>
      <xdr:rowOff>118251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95C1DD62-BF97-45DF-9025-A5C042C0846D}"/>
            </a:ext>
          </a:extLst>
        </xdr:cNvPr>
        <xdr:cNvGrpSpPr/>
      </xdr:nvGrpSpPr>
      <xdr:grpSpPr>
        <a:xfrm>
          <a:off x="2056653" y="1119283"/>
          <a:ext cx="1143978" cy="903968"/>
          <a:chOff x="2020606" y="1217629"/>
          <a:chExt cx="1146854" cy="894982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F6F84F99-0F50-4E68-9292-0B8B3A27684C}"/>
              </a:ext>
            </a:extLst>
          </xdr:cNvPr>
          <xdr:cNvSpPr txBox="1"/>
        </xdr:nvSpPr>
        <xdr:spPr>
          <a:xfrm>
            <a:off x="2026933" y="1217629"/>
            <a:ext cx="1134201" cy="29193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cs typeface="Calibri"/>
              </a:rPr>
              <a:t>Total Orders</a:t>
            </a:r>
          </a:p>
        </xdr:txBody>
      </xdr:sp>
      <xdr:sp macro="" textlink="Total_order">
        <xdr:nvSpPr>
          <xdr:cNvPr id="70" name="TextBox 69">
            <a:extLst>
              <a:ext uri="{FF2B5EF4-FFF2-40B4-BE49-F238E27FC236}">
                <a16:creationId xmlns:a16="http://schemas.microsoft.com/office/drawing/2014/main" id="{5453381E-E484-48ED-996A-772A247D869B}"/>
              </a:ext>
            </a:extLst>
          </xdr:cNvPr>
          <xdr:cNvSpPr txBox="1"/>
        </xdr:nvSpPr>
        <xdr:spPr>
          <a:xfrm>
            <a:off x="2101179" y="1444778"/>
            <a:ext cx="985708" cy="39599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fld id="{380DC413-462D-4145-B0B0-00AB0CAC1429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ctr"/>
              <a:t> 2,000 </a:t>
            </a:fld>
            <a:endPara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879E7178-596F-4588-9CBF-6A24A384EF8C}"/>
              </a:ext>
            </a:extLst>
          </xdr:cNvPr>
          <xdr:cNvGrpSpPr/>
        </xdr:nvGrpSpPr>
        <xdr:grpSpPr>
          <a:xfrm>
            <a:off x="2020606" y="1912478"/>
            <a:ext cx="1146854" cy="200133"/>
            <a:chOff x="2077063" y="1866451"/>
            <a:chExt cx="1146854" cy="200133"/>
          </a:xfrm>
        </xdr:grpSpPr>
        <mc:AlternateContent xmlns:mc="http://schemas.openxmlformats.org/markup-compatibility/2006" xmlns:a14="http://schemas.microsoft.com/office/drawing/2010/main">
          <mc:Choice Requires="a14">
            <xdr:pic>
              <xdr:nvPicPr>
                <xdr:cNvPr id="110" name="Picture 109">
                  <a:extLst>
                    <a:ext uri="{FF2B5EF4-FFF2-40B4-BE49-F238E27FC236}">
                      <a16:creationId xmlns:a16="http://schemas.microsoft.com/office/drawing/2014/main" id="{CA4A6DBC-BCBC-44FC-B423-F2EE0F60F2D6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'Pivot tables'!$E$16" spid="_x0000_s1342"/>
                    </a:ext>
                  </a:extLst>
                </xdr:cNvPicPr>
              </xdr:nvPicPr>
              <xdr:blipFill>
                <a:blip xmlns:r="http://schemas.openxmlformats.org/officeDocument/2006/relationships" r:embed="rId8"/>
                <a:srcRect/>
                <a:stretch>
                  <a:fillRect/>
                </a:stretch>
              </xdr:blipFill>
              <xdr:spPr bwMode="auto">
                <a:xfrm>
                  <a:off x="2077063" y="1878908"/>
                  <a:ext cx="685730" cy="184333"/>
                </a:xfrm>
                <a:prstGeom prst="rect">
                  <a:avLst/>
                </a:prstGeom>
                <a:solidFill>
                  <a:schemeClr val="accent1"/>
                </a:solidFill>
                <a:ln>
                  <a:noFill/>
                </a:ln>
              </xdr:spPr>
            </xdr:pic>
          </mc:Choice>
          <mc:Fallback xmlns=""/>
        </mc:AlternateContent>
        <xdr:grpSp>
          <xdr:nvGrpSpPr>
            <xdr:cNvPr id="63" name="Group 62">
              <a:extLst>
                <a:ext uri="{FF2B5EF4-FFF2-40B4-BE49-F238E27FC236}">
                  <a16:creationId xmlns:a16="http://schemas.microsoft.com/office/drawing/2014/main" id="{61B9E1B4-BC26-4B91-8FB9-F3F39FA48DE2}"/>
                </a:ext>
              </a:extLst>
            </xdr:cNvPr>
            <xdr:cNvGrpSpPr/>
          </xdr:nvGrpSpPr>
          <xdr:grpSpPr>
            <a:xfrm>
              <a:off x="2077286" y="1866451"/>
              <a:ext cx="1146631" cy="200133"/>
              <a:chOff x="783870" y="1851660"/>
              <a:chExt cx="878786" cy="201930"/>
            </a:xfrm>
          </xdr:grpSpPr>
          <xdr:sp macro="" textlink="">
            <xdr:nvSpPr>
              <xdr:cNvPr id="68" name="TextBox 67">
                <a:extLst>
                  <a:ext uri="{FF2B5EF4-FFF2-40B4-BE49-F238E27FC236}">
                    <a16:creationId xmlns:a16="http://schemas.microsoft.com/office/drawing/2014/main" id="{2419B9E4-16D3-41F0-988A-10BC398A1389}"/>
                  </a:ext>
                </a:extLst>
              </xdr:cNvPr>
              <xdr:cNvSpPr txBox="1"/>
            </xdr:nvSpPr>
            <xdr:spPr>
              <a:xfrm>
                <a:off x="1296999" y="1851660"/>
                <a:ext cx="365657" cy="20193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rtlCol="0" anchor="ctr">
                <a:noAutofit/>
              </a:bodyPr>
              <a:lstStyle/>
              <a:p>
                <a:r>
                  <a:rPr lang="en-US" sz="1100">
                    <a:solidFill>
                      <a:schemeClr val="bg2">
                        <a:lumMod val="50000"/>
                      </a:schemeClr>
                    </a:solidFill>
                  </a:rPr>
                  <a:t>vs PY</a:t>
                </a:r>
              </a:p>
            </xdr:txBody>
          </xdr: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DB0E8667-4BAA-447B-A8D2-099AD0CF86AB}"/>
                  </a:ext>
                </a:extLst>
              </xdr:cNvPr>
              <xdr:cNvSpPr/>
            </xdr:nvSpPr>
            <xdr:spPr>
              <a:xfrm>
                <a:off x="783870" y="1868580"/>
                <a:ext cx="875311" cy="182096"/>
              </a:xfrm>
              <a:prstGeom prst="rect">
                <a:avLst/>
              </a:prstGeom>
              <a:noFill/>
              <a:ln w="9525"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>
                  <a:noFill/>
                </a:endParaRPr>
              </a:p>
            </xdr:txBody>
          </xdr:sp>
        </xdr:grpSp>
      </xdr:grpSp>
    </xdr:grpSp>
    <xdr:clientData/>
  </xdr:twoCellAnchor>
  <xdr:twoCellAnchor>
    <xdr:from>
      <xdr:col>5</xdr:col>
      <xdr:colOff>451470</xdr:colOff>
      <xdr:row>5</xdr:row>
      <xdr:rowOff>138205</xdr:rowOff>
    </xdr:from>
    <xdr:to>
      <xdr:col>8</xdr:col>
      <xdr:colOff>433622</xdr:colOff>
      <xdr:row>10</xdr:row>
      <xdr:rowOff>146829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5C51902-5FCB-41AE-A283-03BC69E4D9CE}"/>
            </a:ext>
          </a:extLst>
        </xdr:cNvPr>
        <xdr:cNvGrpSpPr/>
      </xdr:nvGrpSpPr>
      <xdr:grpSpPr>
        <a:xfrm>
          <a:off x="3499470" y="1090705"/>
          <a:ext cx="1810952" cy="961124"/>
          <a:chOff x="3555882" y="1188350"/>
          <a:chExt cx="1809078" cy="971534"/>
        </a:xfrm>
      </xdr:grpSpPr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43A751B2-1570-43DE-9EE8-D186F6E8D3E9}"/>
              </a:ext>
            </a:extLst>
          </xdr:cNvPr>
          <xdr:cNvSpPr txBox="1"/>
        </xdr:nvSpPr>
        <xdr:spPr>
          <a:xfrm>
            <a:off x="3555882" y="1188350"/>
            <a:ext cx="1809078" cy="3092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cs typeface="Calibri"/>
              </a:rPr>
              <a:t>Quantities</a:t>
            </a:r>
            <a:r>
              <a:rPr lang="en-US" sz="1400" b="1" i="0" u="none" strike="noStrike" baseline="0">
                <a:solidFill>
                  <a:schemeClr val="accent1">
                    <a:lumMod val="75000"/>
                  </a:schemeClr>
                </a:solidFill>
                <a:latin typeface="Calibri"/>
                <a:cs typeface="Calibri"/>
              </a:rPr>
              <a:t> Sold</a:t>
            </a:r>
            <a:endParaRPr lang="en-US" sz="1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endParaRPr>
          </a:p>
        </xdr:txBody>
      </xdr:sp>
      <xdr:sp macro="" textlink="quantities">
        <xdr:nvSpPr>
          <xdr:cNvPr id="75" name="TextBox 74">
            <a:extLst>
              <a:ext uri="{FF2B5EF4-FFF2-40B4-BE49-F238E27FC236}">
                <a16:creationId xmlns:a16="http://schemas.microsoft.com/office/drawing/2014/main" id="{73A1BF1C-905B-437C-A2AF-5BFFF9F503CE}"/>
              </a:ext>
            </a:extLst>
          </xdr:cNvPr>
          <xdr:cNvSpPr txBox="1"/>
        </xdr:nvSpPr>
        <xdr:spPr>
          <a:xfrm>
            <a:off x="3815607" y="1435905"/>
            <a:ext cx="1293277" cy="51131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l"/>
            <a:fld id="{9CA9B4E9-4524-49DC-90D6-80F815C2F258}" type="TxLink">
              <a:rPr lang="en-US" sz="2400" b="1" i="0" u="none" strike="noStrike">
                <a:solidFill>
                  <a:srgbClr val="000000"/>
                </a:solidFill>
                <a:latin typeface="Calibri"/>
                <a:ea typeface="+mn-ea"/>
                <a:cs typeface="Calibri"/>
              </a:rPr>
              <a:pPr marL="0" indent="0" algn="l"/>
              <a:t> 9,119 </a:t>
            </a:fld>
            <a:endPara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endParaRPr>
          </a:p>
        </xdr:txBody>
      </xdr:sp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9D0F1D48-F8CE-4D07-9EA0-954B3189FD15}"/>
              </a:ext>
            </a:extLst>
          </xdr:cNvPr>
          <xdr:cNvGrpSpPr/>
        </xdr:nvGrpSpPr>
        <xdr:grpSpPr>
          <a:xfrm>
            <a:off x="3842365" y="1917344"/>
            <a:ext cx="1247201" cy="242540"/>
            <a:chOff x="783870" y="1851660"/>
            <a:chExt cx="878786" cy="201930"/>
          </a:xfrm>
        </xdr:grpSpPr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65538F44-4C76-4D78-9A93-BD3EA8DA9181}"/>
                </a:ext>
              </a:extLst>
            </xdr:cNvPr>
            <xdr:cNvSpPr txBox="1"/>
          </xdr:nvSpPr>
          <xdr:spPr>
            <a:xfrm>
              <a:off x="1312456" y="1851660"/>
              <a:ext cx="350200" cy="2019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r>
                <a:rPr lang="en-US" sz="1100">
                  <a:solidFill>
                    <a:schemeClr val="bg2">
                      <a:lumMod val="50000"/>
                    </a:schemeClr>
                  </a:solidFill>
                </a:rPr>
                <a:t>vs PY</a:t>
              </a:r>
            </a:p>
          </xdr:txBody>
        </xdr:sp>
        <xdr:sp macro="" textlink="">
          <xdr:nvSpPr>
            <xdr:cNvPr id="78" name="Rectangle 77">
              <a:extLst>
                <a:ext uri="{FF2B5EF4-FFF2-40B4-BE49-F238E27FC236}">
                  <a16:creationId xmlns:a16="http://schemas.microsoft.com/office/drawing/2014/main" id="{F6ADB8FB-943E-4967-AA1C-3D7B83821350}"/>
                </a:ext>
              </a:extLst>
            </xdr:cNvPr>
            <xdr:cNvSpPr/>
          </xdr:nvSpPr>
          <xdr:spPr>
            <a:xfrm>
              <a:off x="783870" y="1868580"/>
              <a:ext cx="875311" cy="182096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noFill/>
              </a:endParaRPr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14" name="Picture 113">
                <a:extLst>
                  <a:ext uri="{FF2B5EF4-FFF2-40B4-BE49-F238E27FC236}">
                    <a16:creationId xmlns:a16="http://schemas.microsoft.com/office/drawing/2014/main" id="{DD722DF9-722D-4D84-BE23-BFE806C93295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Pivot tables'!$F$16" spid="_x0000_s1343"/>
                  </a:ext>
                </a:extLst>
              </xdr:cNvPicPr>
            </xdr:nvPicPr>
            <xdr:blipFill>
              <a:blip xmlns:r="http://schemas.openxmlformats.org/officeDocument/2006/relationships" r:embed="rId9"/>
              <a:srcRect/>
              <a:stretch>
                <a:fillRect/>
              </a:stretch>
            </xdr:blipFill>
            <xdr:spPr bwMode="auto">
              <a:xfrm>
                <a:off x="3829319" y="1950453"/>
                <a:ext cx="803013" cy="202108"/>
              </a:xfrm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</xdr:spPr>
          </xdr:pic>
        </mc:Choice>
        <mc:Fallback xmlns=""/>
      </mc:AlternateContent>
    </xdr:grpSp>
    <xdr:clientData/>
  </xdr:twoCellAnchor>
  <xdr:twoCellAnchor editAs="oneCell">
    <xdr:from>
      <xdr:col>11</xdr:col>
      <xdr:colOff>581526</xdr:colOff>
      <xdr:row>3</xdr:row>
      <xdr:rowOff>180474</xdr:rowOff>
    </xdr:from>
    <xdr:to>
      <xdr:col>18</xdr:col>
      <xdr:colOff>511341</xdr:colOff>
      <xdr:row>10</xdr:row>
      <xdr:rowOff>180478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29" name="Date">
              <a:extLst>
                <a:ext uri="{FF2B5EF4-FFF2-40B4-BE49-F238E27FC236}">
                  <a16:creationId xmlns:a16="http://schemas.microsoft.com/office/drawing/2014/main" id="{78DD2DCA-CDD7-4799-AC4F-A8798511B8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09184" y="751974"/>
              <a:ext cx="4211052" cy="13335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34606481" backgroundQuery="1" createdVersion="7" refreshedVersion="7" minRefreshableVersion="3" recordCount="0" supportSubquery="1" supportAdvancedDrill="1" xr:uid="{D1894E9A-B514-4143-8405-39404C209939}">
  <cacheSource type="external" connectionId="3"/>
  <cacheFields count="5">
    <cacheField name="[Measures].[Total orders]" caption="Total orders" numFmtId="0" hierarchy="24" level="32767"/>
    <cacheField name="[Measures].[Total customers]" caption="Total customers" numFmtId="0" hierarchy="25" level="32767"/>
    <cacheField name="[Measures].[Quantities Sold]" caption="Quantities Sold" numFmtId="0" hierarchy="26" level="32767"/>
    <cacheField name="[Measures].[Total Revenue]" caption="Total Revenue" numFmtId="0" hierarchy="27" level="32767"/>
    <cacheField name="[Sales_data].[Date (Quarter)].[Date (Quarter)]" caption="Date (Quarter)" numFmtId="0" hierarchy="20" level="1">
      <sharedItems containsSemiMixedTypes="0" containsNonDate="0" containsString="0"/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2" memberValueDatatype="130" unbalanced="0">
      <fieldsUsage count="2">
        <fieldUsage x="-1"/>
        <fieldUsage x="4"/>
      </fieldsUsage>
    </cacheHierarchy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 oneField="1">
      <fieldsUsage count="1">
        <fieldUsage x="0"/>
      </fieldsUsage>
    </cacheHierarchy>
    <cacheHierarchy uniqueName="[Measures].[Total customers]" caption="Total customers" measure="1" displayFolder="" measureGroup="Sales_data" count="0" oneField="1">
      <fieldsUsage count="1">
        <fieldUsage x="1"/>
      </fieldsUsage>
    </cacheHierarchy>
    <cacheHierarchy uniqueName="[Measures].[Quantities Sold]" caption="Quantities Sold" measure="1" displayFolder="" measureGroup="Sales_data" count="0" oneField="1">
      <fieldsUsage count="1">
        <fieldUsage x="2"/>
      </fieldsUsage>
    </cacheHierarchy>
    <cacheHierarchy uniqueName="[Measures].[Total Revenue]" caption="Total Revenue" measure="1" displayFolder="" measureGroup="Sales_data" count="0" oneField="1">
      <fieldsUsage count="1">
        <fieldUsage x="3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3634259" backgroundQuery="1" createdVersion="7" refreshedVersion="7" minRefreshableVersion="3" recordCount="0" supportSubquery="1" supportAdvancedDrill="1" xr:uid="{17D1EAC2-020C-40A2-9DED-17DFA251F69A}">
  <cacheSource type="external" connectionId="3"/>
  <cacheFields count="4">
    <cacheField name="[Measures].[PY quantixty sold]" caption="PY quantixty sold" numFmtId="0" hierarchy="28" level="32767"/>
    <cacheField name="[Measures].[PY customers]" caption="PY customers" numFmtId="0" hierarchy="29" level="32767"/>
    <cacheField name="[Measures].[PY revenue]" caption="PY revenue" numFmtId="0" hierarchy="31" level="32767"/>
    <cacheField name="[Measures].[PY Orders]" caption="PY Orders" numFmtId="0" hierarchy="30" level="32767"/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/>
    <cacheHierarchy uniqueName="[Measures].[PY quantixty sold]" caption="PY quantixty sold" measure="1" displayFolder="" measureGroup="Sales_data" count="0" oneField="1">
      <fieldsUsage count="1">
        <fieldUsage x="0"/>
      </fieldsUsage>
    </cacheHierarchy>
    <cacheHierarchy uniqueName="[Measures].[PY customers]" caption="PY customers" measure="1" displayFolder="" measureGroup="Sales_data" count="0" oneField="1">
      <fieldsUsage count="1">
        <fieldUsage x="1"/>
      </fieldsUsage>
    </cacheHierarchy>
    <cacheHierarchy uniqueName="[Measures].[PY Orders]" caption="PY Orders" measure="1" displayFolder="" measureGroup="Sales_data" count="0" oneField="1">
      <fieldsUsage count="1">
        <fieldUsage x="3"/>
      </fieldsUsage>
    </cacheHierarchy>
    <cacheHierarchy uniqueName="[Measures].[PY revenue]" caption="PY revenue" measure="1" displayFolder="" measureGroup="Sales_data" count="0" oneField="1">
      <fieldsUsage count="1">
        <fieldUsage x="2"/>
      </fieldsUsage>
    </cacheHierarchy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38194445" backgroundQuery="1" createdVersion="7" refreshedVersion="7" minRefreshableVersion="3" recordCount="0" supportSubquery="1" supportAdvancedDrill="1" xr:uid="{F77C381E-545E-41B5-83C7-1E024AE04961}">
  <cacheSource type="external" connectionId="3"/>
  <cacheFields count="4">
    <cacheField name="[Measures].[YOY Customers]" caption="YOY Customers" numFmtId="0" hierarchy="32" level="32767"/>
    <cacheField name="[Measures].[YOY Orders]" caption="YOY Orders" numFmtId="0" hierarchy="33" level="32767"/>
    <cacheField name="[Measures].[YOY Quantity sold]" caption="YOY Quantity sold" numFmtId="0" hierarchy="34" level="32767"/>
    <cacheField name="[Measures].[YOY Revenue]" caption="YOY Revenue" numFmtId="0" hierarchy="35" level="32767"/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/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 oneField="1">
      <fieldsUsage count="1">
        <fieldUsage x="0"/>
      </fieldsUsage>
    </cacheHierarchy>
    <cacheHierarchy uniqueName="[Measures].[YOY Orders]" caption="YOY Orders" measure="1" displayFolder="" measureGroup="Sales_data" count="0" oneField="1">
      <fieldsUsage count="1">
        <fieldUsage x="1"/>
      </fieldsUsage>
    </cacheHierarchy>
    <cacheHierarchy uniqueName="[Measures].[YOY Quantity sold]" caption="YOY Quantity sold" measure="1" displayFolder="" measureGroup="Sales_data" count="0" oneField="1">
      <fieldsUsage count="1">
        <fieldUsage x="2"/>
      </fieldsUsage>
    </cacheHierarchy>
    <cacheHierarchy uniqueName="[Measures].[YOY Revenue]" caption="YOY Revenue" measure="1" displayFolder="" measureGroup="Sales_data" count="0" oneField="1">
      <fieldsUsage count="1">
        <fieldUsage x="3"/>
      </fieldsUsage>
    </cacheHierarchy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40393516" backgroundQuery="1" createdVersion="7" refreshedVersion="7" minRefreshableVersion="3" recordCount="0" supportSubquery="1" supportAdvancedDrill="1" xr:uid="{8E5312BF-BA79-4218-95C8-9EF399B63428}">
  <cacheSource type="external" connectionId="3"/>
  <cacheFields count="2">
    <cacheField name="[Measures].[Total Revenue]" caption="Total Revenue" numFmtId="0" hierarchy="27" level="32767"/>
    <cacheField name="[Sales_data].[Date (Month)].[Date (Month)]" caption="Date (Month)" numFmtId="0" hierarchy="21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 oneField="1">
      <fieldsUsage count="1">
        <fieldUsage x="0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42129632" backgroundQuery="1" createdVersion="7" refreshedVersion="7" minRefreshableVersion="3" recordCount="0" supportSubquery="1" supportAdvancedDrill="1" xr:uid="{B053AA3F-D8FA-4A07-B3E9-34B1EE4E1ABD}">
  <cacheSource type="external" connectionId="3"/>
  <cacheFields count="2">
    <cacheField name="[Measures].[Total Revenue]" caption="Total Revenue" numFmtId="0" hierarchy="27" level="32767"/>
    <cacheField name="[Sales_data].[Region].[Region]" caption="Region" numFmtId="0" hierarchy="14" level="1">
      <sharedItems count="4">
        <s v="Arizona"/>
        <s v="California"/>
        <s v="New Mexico"/>
        <s v="Texas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 oneField="1">
      <fieldsUsage count="1">
        <fieldUsage x="0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44212964" backgroundQuery="1" createdVersion="7" refreshedVersion="7" minRefreshableVersion="3" recordCount="0" supportSubquery="1" supportAdvancedDrill="1" xr:uid="{AF4DBED0-9D69-41EE-994F-555EC00725C4}">
  <cacheSource type="external" connectionId="3"/>
  <cacheFields count="2">
    <cacheField name="[Measures].[Total Revenue]" caption="Total Revenue" numFmtId="0" hierarchy="27" level="32767"/>
    <cacheField name="[Sales_data].[Item].[Item]" caption="Item" numFmtId="0" hierarchy="15" level="1">
      <sharedItems count="5">
        <s v="Item 1"/>
        <s v="Item 2"/>
        <s v="Item 3"/>
        <s v="Item 4"/>
        <s v="Item 5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 oneField="1">
      <fieldsUsage count="1">
        <fieldUsage x="0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46180558" backgroundQuery="1" createdVersion="7" refreshedVersion="7" minRefreshableVersion="3" recordCount="0" supportSubquery="1" supportAdvancedDrill="1" xr:uid="{5E233B34-2602-4900-A20C-76014C5F9824}">
  <cacheSource type="external" connectionId="3"/>
  <cacheFields count="2">
    <cacheField name="[Measures].[Total Revenue]" caption="Total Revenue" numFmtId="0" hierarchy="27" level="32767"/>
    <cacheField name="[Sales_data].[Sales Person].[Sales Person]" caption="Sales Person" numFmtId="0" hierarchy="13" level="1">
      <sharedItems count="8">
        <s v="Andrew James"/>
        <s v="Anna Weber"/>
        <s v="Anne Lee"/>
        <s v="Ben Wallace"/>
        <s v="Kim Fishman"/>
        <s v="Laura Larsen"/>
        <s v="Michael Fox"/>
        <s v="Oscar Knox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 oneField="1">
      <fieldsUsage count="1">
        <fieldUsage x="0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47569444" backgroundQuery="1" createdVersion="7" refreshedVersion="7" minRefreshableVersion="3" recordCount="0" supportSubquery="1" supportAdvancedDrill="1" xr:uid="{2F8D6675-9631-42EE-9EBB-89E4EF1367E9}">
  <cacheSource type="external" connectionId="3"/>
  <cacheFields count="1">
    <cacheField name="[Measures].[Total Revenue]" caption="Total Revenue" numFmtId="0" hierarchy="27" level="32767"/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 oneField="1">
      <fieldsUsage count="1">
        <fieldUsage x="0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49421299" backgroundQuery="1" createdVersion="7" refreshedVersion="7" minRefreshableVersion="3" recordCount="0" supportSubquery="1" supportAdvancedDrill="1" xr:uid="{50A803FA-1E13-4850-8A68-D440E1DDF75E}">
  <cacheSource type="external" connectionId="3"/>
  <cacheFields count="2">
    <cacheField name="[Measures].[Total Revenue]" caption="Total Revenue" numFmtId="0" hierarchy="27" level="32767"/>
    <cacheField name="[Sales_data].[Customer Name].[Customer Name]" caption="Customer Name" numFmtId="0" hierarchy="12" level="1">
      <sharedItems count="5">
        <s v="Company D"/>
        <s v="Company I"/>
        <s v="Company M"/>
        <s v="Company N"/>
        <s v="Company S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 oneField="1">
      <fieldsUsage count="1">
        <fieldUsage x="0"/>
      </fieldsUsage>
    </cacheHierarchy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6023.082551041669" backgroundQuery="1" createdVersion="7" refreshedVersion="7" minRefreshableVersion="3" recordCount="0" supportSubquery="1" supportAdvancedDrill="1" xr:uid="{142348BB-DFEC-47E7-AAF3-2474E4865800}">
  <cacheSource type="external" connectionId="3"/>
  <cacheFields count="4">
    <cacheField name="[Sales_data].[Date].[Date]" caption="Date" numFmtId="0" hierarchy="10" level="1">
      <sharedItems containsSemiMixedTypes="0" containsNonDate="0" containsDate="1" containsString="0" minDate="2018-01-01T00:00:00" maxDate="2019-10-17T00:00:00" count="654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5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6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  <d v="2019-04-01T00:00:00"/>
        <d v="2019-04-02T00:00:00"/>
        <d v="2019-04-03T00:00:00"/>
        <d v="2019-04-04T00:00:00"/>
        <d v="2019-04-05T00:00:00"/>
        <d v="2019-04-06T00:00:00"/>
        <d v="2019-04-07T00:00:00"/>
        <d v="2019-04-08T00:00:00"/>
        <d v="2019-04-09T00:00:00"/>
        <d v="2019-04-10T00:00:00"/>
        <d v="2019-04-11T00:00:00"/>
        <d v="2019-04-12T00:00:00"/>
        <d v="2019-04-13T00:00:00"/>
        <d v="2019-04-14T00:00:00"/>
        <d v="2019-04-15T00:00:00"/>
        <d v="2019-04-16T00:00:00"/>
        <d v="2019-04-17T00:00:00"/>
        <d v="2019-04-18T00:00:00"/>
        <d v="2019-04-19T00:00:00"/>
        <d v="2019-04-20T00:00:00"/>
        <d v="2019-04-21T00:00:00"/>
        <d v="2019-04-22T00:00:00"/>
        <d v="2019-04-23T00:00:00"/>
        <d v="2019-04-24T00:00:00"/>
        <d v="2019-04-25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3T00:00:00"/>
        <d v="2019-05-04T00:00:00"/>
        <d v="2019-05-05T00:00:00"/>
        <d v="2019-05-06T00:00:00"/>
        <d v="2019-05-07T00:00:00"/>
        <d v="2019-05-08T00:00:00"/>
        <d v="2019-05-09T00:00:00"/>
        <d v="2019-05-10T00:00:00"/>
        <d v="2019-05-11T00:00:00"/>
        <d v="2019-05-12T00:00:00"/>
        <d v="2019-05-13T00:00:00"/>
        <d v="2019-05-14T00:00:00"/>
        <d v="2019-05-15T00:00:00"/>
        <d v="2019-05-16T00:00:00"/>
        <d v="2019-05-17T00:00:00"/>
        <d v="2019-05-18T00:00:00"/>
        <d v="2019-05-19T00:00:00"/>
        <d v="2019-05-20T00:00:00"/>
        <d v="2019-05-21T00:00:00"/>
        <d v="2019-05-22T00:00:00"/>
        <d v="2019-05-23T00:00:00"/>
        <d v="2019-05-24T00:00:00"/>
        <d v="2019-05-25T00:00:00"/>
        <d v="2019-05-26T00:00:00"/>
        <d v="2019-05-27T00:00:00"/>
        <d v="2019-05-28T00:00:00"/>
        <d v="2019-05-29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09T00:00:00"/>
        <d v="2019-06-10T00:00:00"/>
        <d v="2019-06-11T00:00:00"/>
        <d v="2019-06-12T00:00:00"/>
        <d v="2019-06-13T00:00:00"/>
        <d v="2019-06-14T00:00:00"/>
        <d v="2019-06-15T00:00:00"/>
        <d v="2019-06-16T00:00:00"/>
        <d v="2019-06-17T00:00:00"/>
        <d v="2019-06-18T00:00:00"/>
        <d v="2019-06-19T00:00:00"/>
        <d v="2019-06-20T00:00:00"/>
        <d v="2019-06-21T00:00:00"/>
        <d v="2019-06-22T00:00:00"/>
        <d v="2019-06-23T00:00:00"/>
        <d v="2019-06-24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6T00:00:00"/>
        <d v="2019-07-07T00:00:00"/>
        <d v="2019-07-08T00:00:00"/>
        <d v="2019-07-09T00:00:00"/>
        <d v="2019-07-10T00:00:00"/>
        <d v="2019-07-11T00:00:00"/>
        <d v="2019-07-12T00:00:00"/>
        <d v="2019-07-13T00:00:00"/>
        <d v="2019-07-14T00:00:00"/>
        <d v="2019-07-15T00:00:00"/>
        <d v="2019-07-16T00:00:00"/>
        <d v="2019-07-17T00:00:00"/>
        <d v="2019-07-18T00:00:00"/>
        <d v="2019-07-19T00:00:00"/>
        <d v="2019-07-20T00:00:00"/>
        <d v="2019-07-21T00:00:00"/>
        <d v="2019-07-22T00:00:00"/>
        <d v="2019-07-23T00:00:00"/>
        <d v="2019-07-24T00:00:00"/>
        <d v="2019-07-25T00:00:00"/>
        <d v="2019-07-26T00:00:00"/>
        <d v="2019-07-27T00:00:00"/>
        <d v="2019-07-28T00:00:00"/>
        <d v="2019-07-29T00:00:00"/>
        <d v="2019-07-30T00:00:00"/>
        <d v="2019-07-31T00:00:00"/>
        <d v="2019-08-01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1T00:00:00"/>
        <d v="2019-08-12T00:00:00"/>
        <d v="2019-08-13T00:00:00"/>
        <d v="2019-08-14T00:00:00"/>
        <d v="2019-08-15T00:00:00"/>
        <d v="2019-08-16T00:00:00"/>
        <d v="2019-08-17T00:00:00"/>
        <d v="2019-08-18T00:00:00"/>
        <d v="2019-08-19T00:00:00"/>
        <d v="2019-08-20T00:00:00"/>
        <d v="2019-08-21T00:00:00"/>
        <d v="2019-08-22T00:00:00"/>
        <d v="2019-08-23T00:00:00"/>
        <d v="2019-08-24T00:00:00"/>
        <d v="2019-08-25T00:00:00"/>
        <d v="2019-08-26T00:00:00"/>
        <d v="2019-08-27T00:00:00"/>
        <d v="2019-08-28T00:00:00"/>
        <d v="2019-08-29T00:00:00"/>
        <d v="2019-08-30T00:00:00"/>
        <d v="2019-08-31T00:00:00"/>
        <d v="2019-09-01T00:00:00"/>
        <d v="2019-09-02T00:00:00"/>
        <d v="2019-09-03T00:00:00"/>
        <d v="2019-09-04T00:00:00"/>
        <d v="2019-09-05T00:00:00"/>
        <d v="2019-09-06T00:00:00"/>
        <d v="2019-09-07T00:00:00"/>
        <d v="2019-09-08T00:00:00"/>
        <d v="2019-09-09T00:00:00"/>
        <d v="2019-09-10T00:00:00"/>
        <d v="2019-09-11T00:00:00"/>
        <d v="2019-09-12T00:00:00"/>
        <d v="2019-09-13T00:00:00"/>
        <d v="2019-09-14T00:00:00"/>
        <d v="2019-09-15T00:00:00"/>
        <d v="2019-09-16T00:00:00"/>
        <d v="2019-09-17T00:00:00"/>
        <d v="2019-09-18T00:00:00"/>
        <d v="2019-09-19T00:00:00"/>
        <d v="2019-09-20T00:00:00"/>
        <d v="2019-09-21T00:00:00"/>
        <d v="2019-09-22T00:00:00"/>
        <d v="2019-09-23T00:00:00"/>
        <d v="2019-09-24T00:00:00"/>
        <d v="2019-09-25T00:00:00"/>
        <d v="2019-09-26T00:00:00"/>
        <d v="2019-09-27T00:00:00"/>
        <d v="2019-09-28T00:00:00"/>
        <d v="2019-09-29T00:00:00"/>
        <d v="2019-09-30T00:00:00"/>
        <d v="2019-10-01T00:00:00"/>
        <d v="2019-10-02T00:00:00"/>
        <d v="2019-10-03T00:00:00"/>
        <d v="2019-10-04T00:00:00"/>
        <d v="2019-10-05T00:00:00"/>
        <d v="2019-10-06T00:00:00"/>
        <d v="2019-10-07T00:00:00"/>
        <d v="2019-10-08T00:00:00"/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</sharedItems>
    </cacheField>
    <cacheField name="[Sales_data].[Date (Month)].[Date (Month)]" caption="Date (Month)" numFmtId="0" hierarchy="21" level="1">
      <sharedItems containsNonDate="0"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_data].[Date (Quarter)].[Date (Quarter)]" caption="Date (Quarter)" numFmtId="0" hierarchy="20" level="1">
      <sharedItems containsNonDate="0" count="4">
        <s v="Qtr1"/>
        <s v="Qtr2"/>
        <s v="Qtr3"/>
        <s v="Qtr4"/>
      </sharedItems>
    </cacheField>
    <cacheField name="[Sales_data].[Date (Year)].[Date (Year)]" caption="Date (Year)" numFmtId="0" hierarchy="19" level="1">
      <sharedItems count="2">
        <s v="2018"/>
        <s v="2019"/>
      </sharedItems>
    </cacheField>
  </cacheFields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2" memberValueDatatype="7" unbalanced="0">
      <fieldsUsage count="2">
        <fieldUsage x="-1"/>
        <fieldUsage x="0"/>
      </fieldsUsage>
    </cacheHierarchy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2" memberValueDatatype="130" unbalanced="0">
      <fieldsUsage count="2">
        <fieldUsage x="-1"/>
        <fieldUsage x="3"/>
      </fieldsUsage>
    </cacheHierarchy>
    <cacheHierarchy uniqueName="[Sales_data].[Date (Quarter)]" caption="Date (Quarter)" attribute="1" defaultMemberUniqueName="[Sales_data].[Date (Quarter)].[All]" allUniqueName="[Sales_data].[Date (Quarter)].[All]" dimensionUniqueName="[Sales_data]" displayFolder="" count="2" memberValueDatatype="130" unbalanced="0">
      <fieldsUsage count="2">
        <fieldUsage x="-1"/>
        <fieldUsage x="2"/>
      </fieldsUsage>
    </cacheHierarchy>
    <cacheHierarchy uniqueName="[Sales_data].[Date (Month)]" caption="Date (Month)" attribute="1" defaultMemberUniqueName="[Sales_data].[Date (Month)].[All]" allUniqueName="[Sales_data].[Date (Month)].[All]" dimensionUniqueName="[Sales_data]" displayFolder="" count="2" memberValueDatatype="130" unbalanced="0">
      <fieldsUsage count="2">
        <fieldUsage x="-1"/>
        <fieldUsage x="1"/>
      </fieldsUsage>
    </cacheHierarchy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/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measure="1" name="Measures" uniqueName="[Measures]" caption="Measures"/>
    <dimension name="Sales_data" uniqueName="[Sales_data]" caption="Sales_data"/>
  </dimensions>
  <measureGroups count="2">
    <measureGroup name="Calendar" caption="Calendar"/>
    <measureGroup name="Sales_data" caption="Sales_data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" refreshedDate="45961.340960532405" backgroundQuery="1" createdVersion="3" refreshedVersion="7" minRefreshableVersion="3" recordCount="0" supportSubquery="1" supportAdvancedDrill="1" xr:uid="{D54D65C9-A9DF-4681-BD7F-00AC0203F736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9">
    <cacheHierarchy uniqueName="[Calendar].[Date]" caption="Date" attribute="1" time="1" keyAttribute="1" defaultMemberUniqueName="[Calendar].[Date].[All]" allUniqueName="[Calendar].[Date].[All]" dimensionUniqueName="[Calendar]" displayFolder="" count="2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alendar].[QUARTER]" caption="QUARTER" attribute="1" time="1" defaultMemberUniqueName="[Calendar].[QUARTER].[All]" allUniqueName="[Calendar].[QUARTER].[All]" dimensionUniqueName="[Calendar]" displayFolder="" count="0" memberValueDatatype="130" unbalanced="0"/>
    <cacheHierarchy uniqueName="[Sales_data].[Order ID]" caption="Order ID" attribute="1" defaultMemberUniqueName="[Sales_data].[Order ID].[All]" allUniqueName="[Sales_data].[Order ID].[All]" dimensionUniqueName="[Sales_data]" displayFolder="" count="0" memberValueDatatype="20" unbalanced="0"/>
    <cacheHierarchy uniqueName="[Sales_data].[Date]" caption="Date" attribute="1" time="1" defaultMemberUniqueName="[Sales_data].[Date].[All]" allUniqueName="[Sales_data].[Date].[All]" dimensionUniqueName="[Sales_data]" displayFolder="" count="0" memberValueDatatype="7" unbalanced="0"/>
    <cacheHierarchy uniqueName="[Sales_data].[Customer ID]" caption="Customer ID" attribute="1" defaultMemberUniqueName="[Sales_data].[Customer ID].[All]" allUniqueName="[Sales_data].[Customer ID].[All]" dimensionUniqueName="[Sales_data]" displayFolder="" count="0" memberValueDatatype="20" unbalanced="0"/>
    <cacheHierarchy uniqueName="[Sales_data].[Customer Name]" caption="Customer Name" attribute="1" defaultMemberUniqueName="[Sales_data].[Customer Name].[All]" allUniqueName="[Sales_data].[Customer Name].[All]" dimensionUniqueName="[Sales_data]" displayFolder="" count="0" memberValueDatatype="130" unbalanced="0"/>
    <cacheHierarchy uniqueName="[Sales_data].[Sales Person]" caption="Sales Person" attribute="1" defaultMemberUniqueName="[Sales_data].[Sales Person].[All]" allUniqueName="[Sales_data].[Sales Person].[All]" dimensionUniqueName="[Sales_data]" displayFolder="" count="0" memberValueDatatype="13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Item]" caption="Item" attribute="1" defaultMemberUniqueName="[Sales_data].[Item].[All]" allUniqueName="[Sales_data].[Item].[All]" dimensionUniqueName="[Sales_data]" displayFolder="" count="0" memberValueDatatype="130" unbalanced="0"/>
    <cacheHierarchy uniqueName="[Sales_data].[Price]" caption="Price" attribute="1" defaultMemberUniqueName="[Sales_data].[Price].[All]" allUniqueName="[Sales_data].[Price].[All]" dimensionUniqueName="[Sales_data]" displayFolder="" count="0" memberValueDatatype="2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Revenue]" caption="Revenue" attribute="1" defaultMemberUniqueName="[Sales_data].[Revenue].[All]" allUniqueName="[Sales_data].[Revenue].[All]" dimensionUniqueName="[Sales_data]" displayFolder="" count="0" memberValueDatatype="20" unbalanced="0"/>
    <cacheHierarchy uniqueName="[Sales_data].[Date (Year)]" caption="Date (Year)" attribute="1" defaultMemberUniqueName="[Sales_data].[Date (Year)].[All]" allUniqueName="[Sales_data].[Date (Year)].[All]" dimensionUniqueName="[Sales_data]" displayFolder="" count="0" memberValueDatatype="130" unbalanced="0"/>
    <cacheHierarchy uniqueName="[Sales_data].[Date (Quarter)]" caption="Date (Quarter)" attribute="1" defaultMemberUniqueName="[Sales_data].[Date (Quarter)].[All]" allUniqueName="[Sales_data].[Date (Quarter)].[All]" dimensionUniqueName="[Sales_data]" displayFolder="" count="0" memberValueDatatype="130" unbalanced="0"/>
    <cacheHierarchy uniqueName="[Sales_data].[Date (Month)]" caption="Date (Month)" attribute="1" defaultMemberUniqueName="[Sales_data].[Date (Month)].[All]" allUniqueName="[Sales_data].[Date (Month)].[All]" dimensionUniqueName="[Sales_data]" displayFolder="" count="0" memberValueDatatype="130" unbalanced="0"/>
    <cacheHierarchy uniqueName="[Sales_data].[Date (Month Index)]" caption="Date (Month Index)" attribute="1" defaultMemberUniqueName="[Sales_data].[Date (Month Index)].[All]" allUniqueName="[Sales_data].[Date (Month Index)].[All]" dimensionUniqueName="[Sales_data]" displayFolder="" count="0" memberValueDatatype="20" unbalanced="0" hidden="1"/>
    <cacheHierarchy uniqueName="[Measures].[Sum of Quantity]" caption="Sum of Quantity" measure="1" displayFolder="" measureGroup="Sales_data" count="0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Total orders]" caption="Total orders" measure="1" displayFolder="" measureGroup="Sales_data" count="0"/>
    <cacheHierarchy uniqueName="[Measures].[Total customers]" caption="Total customers" measure="1" displayFolder="" measureGroup="Sales_data" count="0"/>
    <cacheHierarchy uniqueName="[Measures].[Quantities Sold]" caption="Quantities Sold" measure="1" displayFolder="" measureGroup="Sales_data" count="0"/>
    <cacheHierarchy uniqueName="[Measures].[Total Revenue]" caption="Total Revenue" measure="1" displayFolder="" measureGroup="Sales_data" count="0"/>
    <cacheHierarchy uniqueName="[Measures].[PY quantixty sold]" caption="PY quantixty sold" measure="1" displayFolder="" measureGroup="Sales_data" count="0"/>
    <cacheHierarchy uniqueName="[Measures].[PY customers]" caption="PY customers" measure="1" displayFolder="" measureGroup="Sales_data" count="0"/>
    <cacheHierarchy uniqueName="[Measures].[PY Orders]" caption="PY Orders" measure="1" displayFolder="" measureGroup="Sales_data" count="0"/>
    <cacheHierarchy uniqueName="[Measures].[PY revenue]" caption="PY revenue" measure="1" displayFolder="" measureGroup="Sales_data" count="0"/>
    <cacheHierarchy uniqueName="[Measures].[YOY Customers]" caption="YOY Customers" measure="1" displayFolder="" measureGroup="Sales_data" count="0"/>
    <cacheHierarchy uniqueName="[Measures].[YOY Orders]" caption="YOY Orders" measure="1" displayFolder="" measureGroup="Sales_data" count="0"/>
    <cacheHierarchy uniqueName="[Measures].[YOY Quantity sold]" caption="YOY Quantity sold" measure="1" displayFolder="" measureGroup="Sales_data" count="0"/>
    <cacheHierarchy uniqueName="[Measures].[YOY Revenue]" caption="YOY Revenue" measure="1" displayFolder="" measureGroup="Sales_data" count="0"/>
    <cacheHierarchy uniqueName="[Measures].[__XL_Count Sales_data]" caption="__XL_Count Sales_data" measure="1" displayFolder="" measureGroup="Sales_data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39460508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AA55B-982E-481F-B20B-8624C5EDBA8A}" name="PivotTable16" cacheId="1" applyNumberFormats="0" applyBorderFormats="0" applyFontFormats="0" applyPatternFormats="0" applyAlignmentFormats="0" applyWidthHeightFormats="1" dataCaption="Values" tag="e43dacbe-e6e0-4050-805e-f6ae9dc4dae7" updatedVersion="7" minRefreshableVersion="5" useAutoFormatting="1" subtotalHiddenItems="1" itemPrintTitles="1" createdVersion="7" indent="0" outline="1" outlineData="1" multipleFieldFilters="0">
  <location ref="A3:D4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7"/>
    <dataField fld="1" subtotal="count" baseField="0" baseItem="0"/>
    <dataField fld="2" subtotal="count" baseField="0" baseItem="0" numFmtId="167"/>
    <dataField fld="3" subtotal="count" baseField="0" baseItem="0" numFmtId="166"/>
  </dataFields>
  <formats count="4">
    <format dxfId="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ales_data].[Date (Quarter)].&amp;[Qtr4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9A456-0888-4658-BB16-84262D8E4549}" name="PivotTable2" cacheId="4" applyNumberFormats="0" applyBorderFormats="0" applyFontFormats="0" applyPatternFormats="0" applyAlignmentFormats="0" applyWidthHeightFormats="1" dataCaption="Values" tag="93caaafb-4ca1-4cd6-9a06-fd2de221bca7" updatedVersion="7" minRefreshableVersion="5" useAutoFormatting="1" subtotalHiddenItems="1" itemPrintTitles="1" createdVersion="7" indent="0" outline="1" outlineData="1" multipleFieldFilters="0" chartFormat="4">
  <location ref="H7:I2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subtotal="count" baseField="0" baseItem="0" numFmtId="166"/>
  </dataFields>
  <formats count="4">
    <format dxfId="7">
      <pivotArea collapsedLevelsAreSubtotals="1" fieldPosition="0">
        <references count="1">
          <reference field="1" count="1">
            <x v="3"/>
          </reference>
        </references>
      </pivotArea>
    </format>
    <format dxfId="6">
      <pivotArea outline="0" collapsedLevelsAreSubtotals="1" fieldPosition="0"/>
    </format>
    <format dxfId="5">
      <pivotArea field="1" type="button" dataOnly="0" labelOnly="1" outline="0" axis="axisRow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7A755-C4EF-4BB6-BE5C-914D69EBC094}" name="PivotTable17" cacheId="2" applyNumberFormats="0" applyBorderFormats="0" applyFontFormats="0" applyPatternFormats="0" applyAlignmentFormats="0" applyWidthHeightFormats="1" dataCaption="Values" tag="d0f678a9-fc3a-4c62-b2d2-5521366a240a" updatedVersion="7" minRefreshableVersion="5" useAutoFormatting="1" subtotalHiddenItems="1" itemPrintTitles="1" createdVersion="7" indent="0" outline="1" outlineData="1" multipleFieldFilters="0">
  <location ref="A7:D8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F59D7-7A34-44D5-9403-0B0703C0340A}" name="PivotTable4" cacheId="6" applyNumberFormats="0" applyBorderFormats="0" applyFontFormats="0" applyPatternFormats="0" applyAlignmentFormats="0" applyWidthHeightFormats="1" dataCaption="Values" tag="282e431d-db20-48a1-a366-9ca081952707" updatedVersion="7" minRefreshableVersion="5" useAutoFormatting="1" subtotalHiddenItems="1" itemPrintTitles="1" createdVersion="7" indent="0" outline="1" outlineData="1" multipleFieldFilters="0" chartFormat="4">
  <location ref="H30:I3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0" subtotal="count" baseField="0" baseItem="0" numFmtId="44"/>
  </dataFields>
  <formats count="3">
    <format dxfId="10">
      <pivotArea outline="0" collapsedLevelsAreSubtotals="1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FD1F83-DFBB-435C-AAEA-48596032CFA0}" name="PivotTable6" cacheId="8" applyNumberFormats="0" applyBorderFormats="0" applyFontFormats="0" applyPatternFormats="0" applyAlignmentFormats="0" applyWidthHeightFormats="1" dataCaption="Values" tag="c73df2a9-778e-45b7-9493-2acfb89deb9e" updatedVersion="7" minRefreshableVersion="5" useAutoFormatting="1" subtotalHiddenItems="1" itemPrintTitles="1" createdVersion="7" indent="0" outline="1" outlineData="1" multipleFieldFilters="0">
  <location ref="M14:M1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 numFmtId="44"/>
  </dataFields>
  <formats count="1">
    <format dxfId="11">
      <pivotArea outline="0" collapsedLevelsAreSubtotals="1" fieldPosition="0"/>
    </format>
  </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5171D-06DD-4BD5-8231-A3211E19E673}" name="PivotTable5" cacheId="7" applyNumberFormats="0" applyBorderFormats="0" applyFontFormats="0" applyPatternFormats="0" applyAlignmentFormats="0" applyWidthHeightFormats="1" dataCaption="Values" tag="dd18b657-b5a4-450d-bc46-9e4e513647c5" updatedVersion="7" minRefreshableVersion="5" useAutoFormatting="1" subtotalHiddenItems="1" itemPrintTitles="1" createdVersion="7" indent="0" outline="1" outlineData="1" multipleFieldFilters="0" chartFormat="6">
  <location ref="M30:N39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9">
    <i>
      <x v="4"/>
    </i>
    <i>
      <x v="2"/>
    </i>
    <i>
      <x/>
    </i>
    <i>
      <x v="7"/>
    </i>
    <i>
      <x v="6"/>
    </i>
    <i>
      <x v="3"/>
    </i>
    <i>
      <x v="5"/>
    </i>
    <i>
      <x v="1"/>
    </i>
    <i t="grand">
      <x/>
    </i>
  </rowItems>
  <colItems count="1">
    <i/>
  </colItems>
  <dataFields count="1">
    <dataField fld="0" subtotal="count" baseField="0" baseItem="0" numFmtId="166"/>
  </dataFields>
  <formats count="1">
    <format dxfId="15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E2579-3E6F-40BB-AF15-F763DD1EFA24}" name="PivotTable7" cacheId="9" applyNumberFormats="0" applyBorderFormats="0" applyFontFormats="0" applyPatternFormats="0" applyAlignmentFormats="0" applyWidthHeightFormats="1" dataCaption="Values" tag="3cc8e421-9224-4c96-b3eb-53124dff93e7" updatedVersion="7" minRefreshableVersion="5" useAutoFormatting="1" subtotalHiddenItems="1" itemPrintTitles="1" createdVersion="7" indent="0" outline="1" outlineData="1" multipleFieldFilters="0" chartFormat="4">
  <location ref="O11:P17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6">
    <i>
      <x v="1"/>
    </i>
    <i>
      <x v="3"/>
    </i>
    <i>
      <x v="2"/>
    </i>
    <i>
      <x v="4"/>
    </i>
    <i>
      <x/>
    </i>
    <i t="grand">
      <x/>
    </i>
  </rowItems>
  <colItems count="1">
    <i/>
  </colItems>
  <dataFields count="1">
    <dataField fld="0" subtotal="count" baseField="0" baseItem="0" numFmtId="166"/>
  </dataFields>
  <formats count="2">
    <format dxfId="17">
      <pivotArea outline="0" collapsedLevelsAreSubtotals="1" fieldPosition="0"/>
    </format>
    <format dxfId="16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27">
      <autoFilter ref="A1">
        <filterColumn colId="0">
          <top10 val="5" filterVal="5"/>
        </filterColumn>
      </autoFilter>
    </filter>
  </filters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B5A87-AB44-48C8-9928-3BF65383BA17}" name="PivotTable3" cacheId="5" applyNumberFormats="0" applyBorderFormats="0" applyFontFormats="0" applyPatternFormats="0" applyAlignmentFormats="0" applyWidthHeightFormats="1" dataCaption="Values" tag="06187e4f-a78f-4a14-ae30-c06384aa89d1" updatedVersion="7" minRefreshableVersion="5" useAutoFormatting="1" subtotalHiddenItems="1" itemPrintTitles="1" createdVersion="7" indent="0" outline="1" outlineData="1" multipleFieldFilters="0" chartFormat="12">
  <location ref="H23:I2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 numFmtId="44"/>
  </dataFields>
  <formats count="2">
    <format dxfId="19">
      <pivotArea outline="0" collapsedLevelsAreSubtotals="1" fieldPosition="0"/>
    </format>
    <format dxfId="18">
      <pivotArea collapsedLevelsAreSubtotals="1" fieldPosition="0">
        <references count="1">
          <reference field="1" count="0"/>
        </references>
      </pivotArea>
    </format>
  </formats>
  <chartFormats count="5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FE01EA-D16C-40A8-AE46-DFA734D65272}" name="PivotTable8" cacheId="10" applyNumberFormats="0" applyBorderFormats="0" applyFontFormats="0" applyPatternFormats="0" applyAlignmentFormats="0" applyWidthHeightFormats="1" dataCaption="Values" tag="0e726885-a961-4774-97d1-0df40cf30b40" updatedVersion="7" minRefreshableVersion="5" useAutoFormatting="1" subtotalHiddenItems="1" itemPrintTitles="1" createdVersion="7" indent="0" outline="1" outlineData="1" multipleFieldFilters="0" chartFormat="6">
  <location ref="A45:C49" firstHeaderRow="1" firstDataRow="5" firstDataCol="0"/>
  <pivotFields count="4">
    <pivotField axis="axisCol" allDrilled="1" subtotalTop="0" showAll="0" dataSourceSort="1" defaultSubtotal="0" defaultAttributeDrillState="1">
      <items count="6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>
      <items count="4">
        <item x="0" e="0"/>
        <item x="1" e="0"/>
        <item x="2" e="0"/>
        <item x="3" e="0"/>
      </items>
    </pivotField>
    <pivotField axis="axisCol" allDrilled="1" subtotalTop="0" showAll="0" dataSourceSort="1" defaultSubtotal="0">
      <items count="2">
        <item x="0" e="0"/>
        <item x="1" e="0"/>
      </items>
    </pivotField>
  </pivotFields>
  <colFields count="4">
    <field x="3"/>
    <field x="2"/>
    <field x="1"/>
    <field x="0"/>
  </colFields>
  <colItems count="3">
    <i>
      <x/>
    </i>
    <i>
      <x v="1"/>
    </i>
    <i t="grand">
      <x/>
    </i>
  </colItems>
  <formats count="1">
    <format dxfId="20">
      <pivotArea outline="0" collapsedLevelsAreSubtotals="1" fieldPosition="0"/>
    </format>
  </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4">
    <colHierarchyUsage hierarchyUsage="19"/>
    <colHierarchyUsage hierarchyUsage="20"/>
    <colHierarchyUsage hierarchyUsage="21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4A0CB-95A6-4A31-B7F3-1B0F7F4E61A0}" name="PivotTable18" cacheId="3" applyNumberFormats="0" applyBorderFormats="0" applyFontFormats="0" applyPatternFormats="0" applyAlignmentFormats="0" applyWidthHeightFormats="1" dataCaption="Values" tag="5f8ca4e5-edb2-4bc9-a2d3-0daf396f0eea" updatedVersion="7" minRefreshableVersion="5" useAutoFormatting="1" subtotalHiddenItems="1" itemPrintTitles="1" createdVersion="7" indent="0" outline="1" outlineData="1" multipleFieldFilters="0">
  <location ref="D15:G16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 numFmtId="164"/>
    <dataField fld="1" subtotal="count" baseField="0" baseItem="0" numFmtId="164"/>
    <dataField fld="2" subtotal="count" baseField="0" baseItem="0" numFmtId="164"/>
    <dataField fld="3" subtotal="count" baseField="0" baseItem="0" numFmtId="164"/>
  </dataFields>
  <formats count="11">
    <format dxfId="31">
      <pivotArea outline="0" collapsedLevelsAreSubtotals="1" fieldPosition="0"/>
    </format>
    <format dxfId="30">
      <pivotArea outline="0" fieldPosition="0">
        <references count="1">
          <reference field="4294967294" count="1">
            <x v="0"/>
          </reference>
        </references>
      </pivotArea>
    </format>
    <format dxfId="29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28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39">
    <pivotHierarchy dragToData="1"/>
    <pivotHierarchy multipleItemSelectionAllowed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2!Sales_data">
        <x15:activeTabTopLevelEntity name="[Sales_data]"/>
        <x15:activeTabTopLevelEntity name="[Calenda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4EA8F8-76D0-4968-8965-F4955923BD2A}" autoFormatId="16" applyNumberFormats="0" applyBorderFormats="0" applyFontFormats="0" applyPatternFormats="0" applyAlignmentFormats="0" applyWidthHeightFormats="0">
  <queryTableRefresh nextId="11">
    <queryTableFields count="10">
      <queryTableField id="1" name="Order ID" tableColumnId="11"/>
      <queryTableField id="2" name="Date" tableColumnId="2"/>
      <queryTableField id="3" name="Customer ID" tableColumnId="3"/>
      <queryTableField id="4" name="Customer Name" tableColumnId="4"/>
      <queryTableField id="5" name="Sales Person" tableColumnId="5"/>
      <queryTableField id="6" name="Region" tableColumnId="6"/>
      <queryTableField id="7" name="Item" tableColumnId="7"/>
      <queryTableField id="8" name="Price" tableColumnId="8"/>
      <queryTableField id="9" name="Quantity" tableColumnId="9"/>
      <queryTableField id="10" name="Reven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48D73F-9D03-4535-93C2-A65DEADB81B7}" name="Sales_data" displayName="Sales_data" ref="A1:J2001" tableType="queryTable" totalsRowShown="0">
  <autoFilter ref="A1:J2001" xr:uid="{3448D73F-9D03-4535-93C2-A65DEADB81B7}"/>
  <tableColumns count="10">
    <tableColumn id="11" xr3:uid="{C4B579A2-12B1-4222-9D91-5EED09F21EA3}" uniqueName="11" name="Order ID" queryTableFieldId="1"/>
    <tableColumn id="2" xr3:uid="{414B1089-2ACF-406C-8FB7-F6D1E748B6B1}" uniqueName="2" name="Date" queryTableFieldId="2" dataDxfId="36"/>
    <tableColumn id="3" xr3:uid="{E96EE747-32D7-476E-8729-E443A6A06B83}" uniqueName="3" name="Customer ID" queryTableFieldId="3"/>
    <tableColumn id="4" xr3:uid="{3B37DFF3-79A0-4FD5-9D8E-E315A672CEA7}" uniqueName="4" name="Customer Name" queryTableFieldId="4" dataDxfId="35"/>
    <tableColumn id="5" xr3:uid="{AFA51051-9661-4C55-8620-39F37891E0B3}" uniqueName="5" name="Sales Person" queryTableFieldId="5" dataDxfId="34"/>
    <tableColumn id="6" xr3:uid="{C10E1BF5-42B6-4121-8AF3-52A387EED065}" uniqueName="6" name="Region" queryTableFieldId="6" dataDxfId="33"/>
    <tableColumn id="7" xr3:uid="{1310E471-B186-4A6D-AAEC-ACF61B793CEA}" uniqueName="7" name="Item" queryTableFieldId="7" dataDxfId="32"/>
    <tableColumn id="8" xr3:uid="{7349343E-EC09-419F-AB8E-1CBE9D5F2B15}" uniqueName="8" name="Price" queryTableFieldId="8"/>
    <tableColumn id="9" xr3:uid="{8D8FA904-DCEB-436B-A107-F8A39A20281D}" uniqueName="9" name="Quantity" queryTableFieldId="9"/>
    <tableColumn id="10" xr3:uid="{2C2F63FD-F949-4619-994B-B5A0CF1441C2}" uniqueName="10" name="Revenu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e" xr10:uid="{BBF2C678-4E52-47C5-A1F5-FBB9F0C0BA9C}" sourceName="[Calendar].[Date]">
  <pivotTables>
    <pivotTable tabId="3" name="PivotTable16"/>
    <pivotTable tabId="3" name="PivotTable17"/>
    <pivotTable tabId="3" name="PivotTable18"/>
    <pivotTable tabId="3" name="PivotTable2"/>
    <pivotTable tabId="3" name="PivotTable3"/>
    <pivotTable tabId="3" name="PivotTable4"/>
    <pivotTable tabId="3" name="PivotTable5"/>
    <pivotTable tabId="3" name="PivotTable6"/>
    <pivotTable tabId="3" name="PivotTable7"/>
    <pivotTable tabId="3" name="PivotTable8"/>
  </pivotTables>
  <state minimalRefreshVersion="6" lastRefreshVersion="6" pivotCacheId="394605084" filterType="unknown">
    <bounds startDate="2018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59F6D08F-85D4-4AA1-AACC-1A3315290FF5}" cache="Timeline_Date" caption="Date" level="1" selectionLevel="1" scrollPosition="2018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FD67-E133-4942-ABE7-1AB0EAFAC19A}">
  <dimension ref="A1:J2001"/>
  <sheetViews>
    <sheetView tabSelected="1" workbookViewId="0">
      <selection activeCell="A3" sqref="A3"/>
    </sheetView>
  </sheetViews>
  <sheetFormatPr defaultRowHeight="15" x14ac:dyDescent="0.25"/>
  <cols>
    <col min="1" max="2" width="10.7109375" bestFit="1" customWidth="1"/>
    <col min="3" max="3" width="14.140625" bestFit="1" customWidth="1"/>
    <col min="4" max="4" width="17.7109375" bestFit="1" customWidth="1"/>
    <col min="5" max="5" width="14.42578125" bestFit="1" customWidth="1"/>
    <col min="6" max="6" width="12" bestFit="1" customWidth="1"/>
    <col min="7" max="7" width="7.42578125" bestFit="1" customWidth="1"/>
    <col min="8" max="8" width="7.7109375" bestFit="1" customWidth="1"/>
    <col min="9" max="9" width="11" bestFit="1" customWidth="1"/>
    <col min="10" max="10" width="11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43101</v>
      </c>
      <c r="C2" s="1">
        <v>11</v>
      </c>
      <c r="D2" s="1" t="s">
        <v>10</v>
      </c>
      <c r="E2" s="1" t="s">
        <v>11</v>
      </c>
      <c r="F2" s="1" t="s">
        <v>12</v>
      </c>
      <c r="G2" s="1" t="s">
        <v>13</v>
      </c>
      <c r="H2" s="1">
        <v>199</v>
      </c>
      <c r="I2" s="1">
        <v>3</v>
      </c>
      <c r="J2" s="1">
        <v>597</v>
      </c>
    </row>
    <row r="3" spans="1:10" x14ac:dyDescent="0.25">
      <c r="A3" s="1">
        <v>2</v>
      </c>
      <c r="B3" s="2">
        <v>43102</v>
      </c>
      <c r="C3" s="1">
        <v>1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289</v>
      </c>
      <c r="I3" s="1">
        <v>7</v>
      </c>
      <c r="J3" s="1">
        <v>2023</v>
      </c>
    </row>
    <row r="4" spans="1:10" x14ac:dyDescent="0.25">
      <c r="A4" s="1">
        <v>3</v>
      </c>
      <c r="B4" s="2">
        <v>43103</v>
      </c>
      <c r="C4" s="1">
        <v>9</v>
      </c>
      <c r="D4" s="1" t="s">
        <v>18</v>
      </c>
      <c r="E4" s="1" t="s">
        <v>19</v>
      </c>
      <c r="F4" s="1" t="s">
        <v>20</v>
      </c>
      <c r="G4" s="1" t="s">
        <v>21</v>
      </c>
      <c r="H4" s="1">
        <v>159</v>
      </c>
      <c r="I4" s="1">
        <v>3</v>
      </c>
      <c r="J4" s="1">
        <v>477</v>
      </c>
    </row>
    <row r="5" spans="1:10" x14ac:dyDescent="0.25">
      <c r="A5" s="1">
        <v>4</v>
      </c>
      <c r="B5" s="2">
        <v>43103</v>
      </c>
      <c r="C5" s="1">
        <v>18</v>
      </c>
      <c r="D5" s="1" t="s">
        <v>22</v>
      </c>
      <c r="E5" s="1" t="s">
        <v>23</v>
      </c>
      <c r="F5" s="1" t="s">
        <v>24</v>
      </c>
      <c r="G5" s="1" t="s">
        <v>17</v>
      </c>
      <c r="H5" s="1">
        <v>289</v>
      </c>
      <c r="I5" s="1">
        <v>3</v>
      </c>
      <c r="J5" s="1">
        <v>867</v>
      </c>
    </row>
    <row r="6" spans="1:10" x14ac:dyDescent="0.25">
      <c r="A6" s="1">
        <v>5</v>
      </c>
      <c r="B6" s="2">
        <v>43104</v>
      </c>
      <c r="C6" s="1">
        <v>16</v>
      </c>
      <c r="D6" s="1" t="s">
        <v>25</v>
      </c>
      <c r="E6" s="1" t="s">
        <v>23</v>
      </c>
      <c r="F6" s="1" t="s">
        <v>24</v>
      </c>
      <c r="G6" s="1" t="s">
        <v>26</v>
      </c>
      <c r="H6" s="1">
        <v>69</v>
      </c>
      <c r="I6" s="1">
        <v>4</v>
      </c>
      <c r="J6" s="1">
        <v>276</v>
      </c>
    </row>
    <row r="7" spans="1:10" x14ac:dyDescent="0.25">
      <c r="A7" s="1">
        <v>6</v>
      </c>
      <c r="B7" s="2">
        <v>43104</v>
      </c>
      <c r="C7" s="1">
        <v>13</v>
      </c>
      <c r="D7" s="1" t="s">
        <v>27</v>
      </c>
      <c r="E7" s="1" t="s">
        <v>11</v>
      </c>
      <c r="F7" s="1" t="s">
        <v>12</v>
      </c>
      <c r="G7" s="1" t="s">
        <v>13</v>
      </c>
      <c r="H7" s="1">
        <v>199</v>
      </c>
      <c r="I7" s="1">
        <v>2</v>
      </c>
      <c r="J7" s="1">
        <v>398</v>
      </c>
    </row>
    <row r="8" spans="1:10" x14ac:dyDescent="0.25">
      <c r="A8" s="1">
        <v>7</v>
      </c>
      <c r="B8" s="2">
        <v>43104</v>
      </c>
      <c r="C8" s="1">
        <v>17</v>
      </c>
      <c r="D8" s="1" t="s">
        <v>28</v>
      </c>
      <c r="E8" s="1" t="s">
        <v>29</v>
      </c>
      <c r="F8" s="1" t="s">
        <v>24</v>
      </c>
      <c r="G8" s="1" t="s">
        <v>17</v>
      </c>
      <c r="H8" s="1">
        <v>289</v>
      </c>
      <c r="I8" s="1">
        <v>9</v>
      </c>
      <c r="J8" s="1">
        <v>2601</v>
      </c>
    </row>
    <row r="9" spans="1:10" x14ac:dyDescent="0.25">
      <c r="A9" s="1">
        <v>8</v>
      </c>
      <c r="B9" s="2">
        <v>43105</v>
      </c>
      <c r="C9" s="1">
        <v>14</v>
      </c>
      <c r="D9" s="1" t="s">
        <v>30</v>
      </c>
      <c r="E9" s="1" t="s">
        <v>11</v>
      </c>
      <c r="F9" s="1" t="s">
        <v>12</v>
      </c>
      <c r="G9" s="1" t="s">
        <v>13</v>
      </c>
      <c r="H9" s="1">
        <v>199</v>
      </c>
      <c r="I9" s="1">
        <v>5</v>
      </c>
      <c r="J9" s="1">
        <v>995</v>
      </c>
    </row>
    <row r="10" spans="1:10" x14ac:dyDescent="0.25">
      <c r="A10" s="1">
        <v>9</v>
      </c>
      <c r="B10" s="2">
        <v>43105</v>
      </c>
      <c r="C10" s="1">
        <v>20</v>
      </c>
      <c r="D10" s="1" t="s">
        <v>31</v>
      </c>
      <c r="E10" s="1" t="s">
        <v>29</v>
      </c>
      <c r="F10" s="1" t="s">
        <v>24</v>
      </c>
      <c r="G10" s="1" t="s">
        <v>32</v>
      </c>
      <c r="H10" s="1">
        <v>399</v>
      </c>
      <c r="I10" s="1">
        <v>5</v>
      </c>
      <c r="J10" s="1">
        <v>1995</v>
      </c>
    </row>
    <row r="11" spans="1:10" x14ac:dyDescent="0.25">
      <c r="A11" s="1">
        <v>10</v>
      </c>
      <c r="B11" s="2">
        <v>43105</v>
      </c>
      <c r="C11" s="1">
        <v>3</v>
      </c>
      <c r="D11" s="1" t="s">
        <v>33</v>
      </c>
      <c r="E11" s="1" t="s">
        <v>15</v>
      </c>
      <c r="F11" s="1" t="s">
        <v>16</v>
      </c>
      <c r="G11" s="1" t="s">
        <v>13</v>
      </c>
      <c r="H11" s="1">
        <v>199</v>
      </c>
      <c r="I11" s="1">
        <v>0</v>
      </c>
      <c r="J11" s="1">
        <v>0</v>
      </c>
    </row>
    <row r="12" spans="1:10" x14ac:dyDescent="0.25">
      <c r="A12" s="1">
        <v>11</v>
      </c>
      <c r="B12" s="2">
        <v>43105</v>
      </c>
      <c r="C12" s="1">
        <v>8</v>
      </c>
      <c r="D12" s="1" t="s">
        <v>34</v>
      </c>
      <c r="E12" s="1" t="s">
        <v>35</v>
      </c>
      <c r="F12" s="1" t="s">
        <v>20</v>
      </c>
      <c r="G12" s="1" t="s">
        <v>17</v>
      </c>
      <c r="H12" s="1">
        <v>289</v>
      </c>
      <c r="I12" s="1">
        <v>9</v>
      </c>
      <c r="J12" s="1">
        <v>2601</v>
      </c>
    </row>
    <row r="13" spans="1:10" x14ac:dyDescent="0.25">
      <c r="A13" s="1">
        <v>12</v>
      </c>
      <c r="B13" s="2">
        <v>43105</v>
      </c>
      <c r="C13" s="1">
        <v>6</v>
      </c>
      <c r="D13" s="1" t="s">
        <v>36</v>
      </c>
      <c r="E13" s="1" t="s">
        <v>35</v>
      </c>
      <c r="F13" s="1" t="s">
        <v>20</v>
      </c>
      <c r="G13" s="1" t="s">
        <v>32</v>
      </c>
      <c r="H13" s="1">
        <v>399</v>
      </c>
      <c r="I13" s="1">
        <v>6</v>
      </c>
      <c r="J13" s="1">
        <v>2394</v>
      </c>
    </row>
    <row r="14" spans="1:10" x14ac:dyDescent="0.25">
      <c r="A14" s="1">
        <v>13</v>
      </c>
      <c r="B14" s="2">
        <v>43105</v>
      </c>
      <c r="C14" s="1">
        <v>9</v>
      </c>
      <c r="D14" s="1" t="s">
        <v>18</v>
      </c>
      <c r="E14" s="1" t="s">
        <v>19</v>
      </c>
      <c r="F14" s="1" t="s">
        <v>20</v>
      </c>
      <c r="G14" s="1" t="s">
        <v>13</v>
      </c>
      <c r="H14" s="1">
        <v>199</v>
      </c>
      <c r="I14" s="1">
        <v>6</v>
      </c>
      <c r="J14" s="1">
        <v>1194</v>
      </c>
    </row>
    <row r="15" spans="1:10" x14ac:dyDescent="0.25">
      <c r="A15" s="1">
        <v>14</v>
      </c>
      <c r="B15" s="2">
        <v>43105</v>
      </c>
      <c r="C15" s="1">
        <v>4</v>
      </c>
      <c r="D15" s="1" t="s">
        <v>37</v>
      </c>
      <c r="E15" s="1" t="s">
        <v>15</v>
      </c>
      <c r="F15" s="1" t="s">
        <v>16</v>
      </c>
      <c r="G15" s="1" t="s">
        <v>32</v>
      </c>
      <c r="H15" s="1">
        <v>399</v>
      </c>
      <c r="I15" s="1">
        <v>4</v>
      </c>
      <c r="J15" s="1">
        <v>1596</v>
      </c>
    </row>
    <row r="16" spans="1:10" x14ac:dyDescent="0.25">
      <c r="A16" s="1">
        <v>15</v>
      </c>
      <c r="B16" s="2">
        <v>43105</v>
      </c>
      <c r="C16" s="1">
        <v>6</v>
      </c>
      <c r="D16" s="1" t="s">
        <v>36</v>
      </c>
      <c r="E16" s="1" t="s">
        <v>19</v>
      </c>
      <c r="F16" s="1" t="s">
        <v>20</v>
      </c>
      <c r="G16" s="1" t="s">
        <v>13</v>
      </c>
      <c r="H16" s="1">
        <v>199</v>
      </c>
      <c r="I16" s="1">
        <v>2</v>
      </c>
      <c r="J16" s="1">
        <v>398</v>
      </c>
    </row>
    <row r="17" spans="1:10" x14ac:dyDescent="0.25">
      <c r="A17" s="1">
        <v>16</v>
      </c>
      <c r="B17" s="2">
        <v>43106</v>
      </c>
      <c r="C17" s="1">
        <v>13</v>
      </c>
      <c r="D17" s="1" t="s">
        <v>27</v>
      </c>
      <c r="E17" s="1" t="s">
        <v>11</v>
      </c>
      <c r="F17" s="1" t="s">
        <v>12</v>
      </c>
      <c r="G17" s="1" t="s">
        <v>26</v>
      </c>
      <c r="H17" s="1">
        <v>69</v>
      </c>
      <c r="I17" s="1">
        <v>0</v>
      </c>
      <c r="J17" s="1">
        <v>0</v>
      </c>
    </row>
    <row r="18" spans="1:10" x14ac:dyDescent="0.25">
      <c r="A18" s="1">
        <v>17</v>
      </c>
      <c r="B18" s="2">
        <v>43107</v>
      </c>
      <c r="C18" s="1">
        <v>14</v>
      </c>
      <c r="D18" s="1" t="s">
        <v>30</v>
      </c>
      <c r="E18" s="1" t="s">
        <v>11</v>
      </c>
      <c r="F18" s="1" t="s">
        <v>12</v>
      </c>
      <c r="G18" s="1" t="s">
        <v>17</v>
      </c>
      <c r="H18" s="1">
        <v>289</v>
      </c>
      <c r="I18" s="1">
        <v>0</v>
      </c>
      <c r="J18" s="1">
        <v>0</v>
      </c>
    </row>
    <row r="19" spans="1:10" x14ac:dyDescent="0.25">
      <c r="A19" s="1">
        <v>18</v>
      </c>
      <c r="B19" s="2">
        <v>43107</v>
      </c>
      <c r="C19" s="1">
        <v>19</v>
      </c>
      <c r="D19" s="1" t="s">
        <v>38</v>
      </c>
      <c r="E19" s="1" t="s">
        <v>23</v>
      </c>
      <c r="F19" s="1" t="s">
        <v>24</v>
      </c>
      <c r="G19" s="1" t="s">
        <v>21</v>
      </c>
      <c r="H19" s="1">
        <v>159</v>
      </c>
      <c r="I19" s="1">
        <v>5</v>
      </c>
      <c r="J19" s="1">
        <v>795</v>
      </c>
    </row>
    <row r="20" spans="1:10" x14ac:dyDescent="0.25">
      <c r="A20" s="1">
        <v>19</v>
      </c>
      <c r="B20" s="2">
        <v>43107</v>
      </c>
      <c r="C20" s="1">
        <v>10</v>
      </c>
      <c r="D20" s="1" t="s">
        <v>39</v>
      </c>
      <c r="E20" s="1" t="s">
        <v>35</v>
      </c>
      <c r="F20" s="1" t="s">
        <v>20</v>
      </c>
      <c r="G20" s="1" t="s">
        <v>26</v>
      </c>
      <c r="H20" s="1">
        <v>69</v>
      </c>
      <c r="I20" s="1">
        <v>2</v>
      </c>
      <c r="J20" s="1">
        <v>138</v>
      </c>
    </row>
    <row r="21" spans="1:10" x14ac:dyDescent="0.25">
      <c r="A21">
        <v>20</v>
      </c>
      <c r="B21" s="2">
        <v>43107</v>
      </c>
      <c r="C21">
        <v>5</v>
      </c>
      <c r="D21" s="1" t="s">
        <v>40</v>
      </c>
      <c r="E21" s="1" t="s">
        <v>15</v>
      </c>
      <c r="F21" s="1" t="s">
        <v>16</v>
      </c>
      <c r="G21" s="1" t="s">
        <v>32</v>
      </c>
      <c r="H21">
        <v>399</v>
      </c>
      <c r="I21">
        <v>3</v>
      </c>
      <c r="J21">
        <v>1197</v>
      </c>
    </row>
    <row r="22" spans="1:10" x14ac:dyDescent="0.25">
      <c r="A22">
        <v>21</v>
      </c>
      <c r="B22" s="2">
        <v>43107</v>
      </c>
      <c r="C22">
        <v>10</v>
      </c>
      <c r="D22" s="1" t="s">
        <v>39</v>
      </c>
      <c r="E22" s="1" t="s">
        <v>35</v>
      </c>
      <c r="F22" s="1" t="s">
        <v>20</v>
      </c>
      <c r="G22" s="1" t="s">
        <v>26</v>
      </c>
      <c r="H22">
        <v>69</v>
      </c>
      <c r="I22">
        <v>2</v>
      </c>
      <c r="J22">
        <v>138</v>
      </c>
    </row>
    <row r="23" spans="1:10" x14ac:dyDescent="0.25">
      <c r="A23">
        <v>22</v>
      </c>
      <c r="B23" s="2">
        <v>43107</v>
      </c>
      <c r="C23">
        <v>11</v>
      </c>
      <c r="D23" s="1" t="s">
        <v>10</v>
      </c>
      <c r="E23" s="1" t="s">
        <v>41</v>
      </c>
      <c r="F23" s="1" t="s">
        <v>12</v>
      </c>
      <c r="G23" s="1" t="s">
        <v>17</v>
      </c>
      <c r="H23">
        <v>289</v>
      </c>
      <c r="I23">
        <v>6</v>
      </c>
      <c r="J23">
        <v>1734</v>
      </c>
    </row>
    <row r="24" spans="1:10" x14ac:dyDescent="0.25">
      <c r="A24">
        <v>23</v>
      </c>
      <c r="B24" s="2">
        <v>43107</v>
      </c>
      <c r="C24">
        <v>8</v>
      </c>
      <c r="D24" s="1" t="s">
        <v>34</v>
      </c>
      <c r="E24" s="1" t="s">
        <v>35</v>
      </c>
      <c r="F24" s="1" t="s">
        <v>20</v>
      </c>
      <c r="G24" s="1" t="s">
        <v>21</v>
      </c>
      <c r="H24">
        <v>159</v>
      </c>
      <c r="I24">
        <v>4</v>
      </c>
      <c r="J24">
        <v>636</v>
      </c>
    </row>
    <row r="25" spans="1:10" x14ac:dyDescent="0.25">
      <c r="A25">
        <v>24</v>
      </c>
      <c r="B25" s="2">
        <v>43107</v>
      </c>
      <c r="C25">
        <v>12</v>
      </c>
      <c r="D25" s="1" t="s">
        <v>42</v>
      </c>
      <c r="E25" s="1" t="s">
        <v>11</v>
      </c>
      <c r="F25" s="1" t="s">
        <v>12</v>
      </c>
      <c r="G25" s="1" t="s">
        <v>32</v>
      </c>
      <c r="H25">
        <v>399</v>
      </c>
      <c r="I25">
        <v>2</v>
      </c>
      <c r="J25">
        <v>798</v>
      </c>
    </row>
    <row r="26" spans="1:10" x14ac:dyDescent="0.25">
      <c r="A26">
        <v>25</v>
      </c>
      <c r="B26" s="2">
        <v>43108</v>
      </c>
      <c r="C26">
        <v>3</v>
      </c>
      <c r="D26" s="1" t="s">
        <v>33</v>
      </c>
      <c r="E26" s="1" t="s">
        <v>43</v>
      </c>
      <c r="F26" s="1" t="s">
        <v>16</v>
      </c>
      <c r="G26" s="1" t="s">
        <v>32</v>
      </c>
      <c r="H26">
        <v>399</v>
      </c>
      <c r="I26">
        <v>0</v>
      </c>
      <c r="J26">
        <v>0</v>
      </c>
    </row>
    <row r="27" spans="1:10" x14ac:dyDescent="0.25">
      <c r="A27">
        <v>26</v>
      </c>
      <c r="B27" s="2">
        <v>43108</v>
      </c>
      <c r="C27">
        <v>14</v>
      </c>
      <c r="D27" s="1" t="s">
        <v>30</v>
      </c>
      <c r="E27" s="1" t="s">
        <v>11</v>
      </c>
      <c r="F27" s="1" t="s">
        <v>12</v>
      </c>
      <c r="G27" s="1" t="s">
        <v>17</v>
      </c>
      <c r="H27">
        <v>289</v>
      </c>
      <c r="I27">
        <v>0</v>
      </c>
      <c r="J27">
        <v>0</v>
      </c>
    </row>
    <row r="28" spans="1:10" x14ac:dyDescent="0.25">
      <c r="A28">
        <v>27</v>
      </c>
      <c r="B28" s="2">
        <v>43108</v>
      </c>
      <c r="C28">
        <v>14</v>
      </c>
      <c r="D28" s="1" t="s">
        <v>30</v>
      </c>
      <c r="E28" s="1" t="s">
        <v>41</v>
      </c>
      <c r="F28" s="1" t="s">
        <v>12</v>
      </c>
      <c r="G28" s="1" t="s">
        <v>13</v>
      </c>
      <c r="H28">
        <v>199</v>
      </c>
      <c r="I28">
        <v>1</v>
      </c>
      <c r="J28">
        <v>199</v>
      </c>
    </row>
    <row r="29" spans="1:10" x14ac:dyDescent="0.25">
      <c r="A29">
        <v>28</v>
      </c>
      <c r="B29" s="2">
        <v>43108</v>
      </c>
      <c r="C29">
        <v>19</v>
      </c>
      <c r="D29" s="1" t="s">
        <v>38</v>
      </c>
      <c r="E29" s="1" t="s">
        <v>29</v>
      </c>
      <c r="F29" s="1" t="s">
        <v>24</v>
      </c>
      <c r="G29" s="1" t="s">
        <v>32</v>
      </c>
      <c r="H29">
        <v>399</v>
      </c>
      <c r="I29">
        <v>7</v>
      </c>
      <c r="J29">
        <v>2793</v>
      </c>
    </row>
    <row r="30" spans="1:10" x14ac:dyDescent="0.25">
      <c r="A30">
        <v>29</v>
      </c>
      <c r="B30" s="2">
        <v>43109</v>
      </c>
      <c r="C30">
        <v>10</v>
      </c>
      <c r="D30" s="1" t="s">
        <v>39</v>
      </c>
      <c r="E30" s="1" t="s">
        <v>35</v>
      </c>
      <c r="F30" s="1" t="s">
        <v>20</v>
      </c>
      <c r="G30" s="1" t="s">
        <v>13</v>
      </c>
      <c r="H30">
        <v>199</v>
      </c>
      <c r="I30">
        <v>3</v>
      </c>
      <c r="J30">
        <v>597</v>
      </c>
    </row>
    <row r="31" spans="1:10" x14ac:dyDescent="0.25">
      <c r="A31">
        <v>30</v>
      </c>
      <c r="B31" s="2">
        <v>43109</v>
      </c>
      <c r="C31">
        <v>12</v>
      </c>
      <c r="D31" s="1" t="s">
        <v>42</v>
      </c>
      <c r="E31" s="1" t="s">
        <v>41</v>
      </c>
      <c r="F31" s="1" t="s">
        <v>12</v>
      </c>
      <c r="G31" s="1" t="s">
        <v>17</v>
      </c>
      <c r="H31">
        <v>289</v>
      </c>
      <c r="I31">
        <v>0</v>
      </c>
      <c r="J31">
        <v>0</v>
      </c>
    </row>
    <row r="32" spans="1:10" x14ac:dyDescent="0.25">
      <c r="A32">
        <v>31</v>
      </c>
      <c r="B32" s="2">
        <v>43109</v>
      </c>
      <c r="C32">
        <v>6</v>
      </c>
      <c r="D32" s="1" t="s">
        <v>36</v>
      </c>
      <c r="E32" s="1" t="s">
        <v>19</v>
      </c>
      <c r="F32" s="1" t="s">
        <v>20</v>
      </c>
      <c r="G32" s="1" t="s">
        <v>21</v>
      </c>
      <c r="H32">
        <v>159</v>
      </c>
      <c r="I32">
        <v>2</v>
      </c>
      <c r="J32">
        <v>318</v>
      </c>
    </row>
    <row r="33" spans="1:10" x14ac:dyDescent="0.25">
      <c r="A33">
        <v>32</v>
      </c>
      <c r="B33" s="2">
        <v>43109</v>
      </c>
      <c r="C33">
        <v>6</v>
      </c>
      <c r="D33" s="1" t="s">
        <v>36</v>
      </c>
      <c r="E33" s="1" t="s">
        <v>35</v>
      </c>
      <c r="F33" s="1" t="s">
        <v>20</v>
      </c>
      <c r="G33" s="1" t="s">
        <v>32</v>
      </c>
      <c r="H33">
        <v>399</v>
      </c>
      <c r="I33">
        <v>3</v>
      </c>
      <c r="J33">
        <v>1197</v>
      </c>
    </row>
    <row r="34" spans="1:10" x14ac:dyDescent="0.25">
      <c r="A34">
        <v>33</v>
      </c>
      <c r="B34" s="2">
        <v>43110</v>
      </c>
      <c r="C34">
        <v>6</v>
      </c>
      <c r="D34" s="1" t="s">
        <v>36</v>
      </c>
      <c r="E34" s="1" t="s">
        <v>35</v>
      </c>
      <c r="F34" s="1" t="s">
        <v>20</v>
      </c>
      <c r="G34" s="1" t="s">
        <v>26</v>
      </c>
      <c r="H34">
        <v>69</v>
      </c>
      <c r="I34">
        <v>2</v>
      </c>
      <c r="J34">
        <v>138</v>
      </c>
    </row>
    <row r="35" spans="1:10" x14ac:dyDescent="0.25">
      <c r="A35">
        <v>34</v>
      </c>
      <c r="B35" s="2">
        <v>43111</v>
      </c>
      <c r="C35">
        <v>1</v>
      </c>
      <c r="D35" s="1" t="s">
        <v>14</v>
      </c>
      <c r="E35" s="1" t="s">
        <v>43</v>
      </c>
      <c r="F35" s="1" t="s">
        <v>16</v>
      </c>
      <c r="G35" s="1" t="s">
        <v>13</v>
      </c>
      <c r="H35">
        <v>199</v>
      </c>
      <c r="I35">
        <v>8</v>
      </c>
      <c r="J35">
        <v>1592</v>
      </c>
    </row>
    <row r="36" spans="1:10" x14ac:dyDescent="0.25">
      <c r="A36">
        <v>35</v>
      </c>
      <c r="B36" s="2">
        <v>43111</v>
      </c>
      <c r="C36">
        <v>16</v>
      </c>
      <c r="D36" s="1" t="s">
        <v>25</v>
      </c>
      <c r="E36" s="1" t="s">
        <v>29</v>
      </c>
      <c r="F36" s="1" t="s">
        <v>24</v>
      </c>
      <c r="G36" s="1" t="s">
        <v>13</v>
      </c>
      <c r="H36">
        <v>199</v>
      </c>
      <c r="I36">
        <v>5</v>
      </c>
      <c r="J36">
        <v>995</v>
      </c>
    </row>
    <row r="37" spans="1:10" x14ac:dyDescent="0.25">
      <c r="A37">
        <v>36</v>
      </c>
      <c r="B37" s="2">
        <v>43111</v>
      </c>
      <c r="C37">
        <v>13</v>
      </c>
      <c r="D37" s="1" t="s">
        <v>27</v>
      </c>
      <c r="E37" s="1" t="s">
        <v>41</v>
      </c>
      <c r="F37" s="1" t="s">
        <v>12</v>
      </c>
      <c r="G37" s="1" t="s">
        <v>17</v>
      </c>
      <c r="H37">
        <v>289</v>
      </c>
      <c r="I37">
        <v>1</v>
      </c>
      <c r="J37">
        <v>289</v>
      </c>
    </row>
    <row r="38" spans="1:10" x14ac:dyDescent="0.25">
      <c r="A38">
        <v>37</v>
      </c>
      <c r="B38" s="2">
        <v>43111</v>
      </c>
      <c r="C38">
        <v>13</v>
      </c>
      <c r="D38" s="1" t="s">
        <v>27</v>
      </c>
      <c r="E38" s="1" t="s">
        <v>41</v>
      </c>
      <c r="F38" s="1" t="s">
        <v>12</v>
      </c>
      <c r="G38" s="1" t="s">
        <v>32</v>
      </c>
      <c r="H38">
        <v>399</v>
      </c>
      <c r="I38">
        <v>4</v>
      </c>
      <c r="J38">
        <v>1596</v>
      </c>
    </row>
    <row r="39" spans="1:10" x14ac:dyDescent="0.25">
      <c r="A39">
        <v>38</v>
      </c>
      <c r="B39" s="2">
        <v>43112</v>
      </c>
      <c r="C39">
        <v>20</v>
      </c>
      <c r="D39" s="1" t="s">
        <v>31</v>
      </c>
      <c r="E39" s="1" t="s">
        <v>23</v>
      </c>
      <c r="F39" s="1" t="s">
        <v>24</v>
      </c>
      <c r="G39" s="1" t="s">
        <v>32</v>
      </c>
      <c r="H39">
        <v>399</v>
      </c>
      <c r="I39">
        <v>3</v>
      </c>
      <c r="J39">
        <v>1197</v>
      </c>
    </row>
    <row r="40" spans="1:10" x14ac:dyDescent="0.25">
      <c r="A40">
        <v>39</v>
      </c>
      <c r="B40" s="2">
        <v>43112</v>
      </c>
      <c r="C40">
        <v>19</v>
      </c>
      <c r="D40" s="1" t="s">
        <v>38</v>
      </c>
      <c r="E40" s="1" t="s">
        <v>29</v>
      </c>
      <c r="F40" s="1" t="s">
        <v>24</v>
      </c>
      <c r="G40" s="1" t="s">
        <v>26</v>
      </c>
      <c r="H40">
        <v>69</v>
      </c>
      <c r="I40">
        <v>8</v>
      </c>
      <c r="J40">
        <v>552</v>
      </c>
    </row>
    <row r="41" spans="1:10" x14ac:dyDescent="0.25">
      <c r="A41">
        <v>40</v>
      </c>
      <c r="B41" s="2">
        <v>43112</v>
      </c>
      <c r="C41">
        <v>14</v>
      </c>
      <c r="D41" s="1" t="s">
        <v>30</v>
      </c>
      <c r="E41" s="1" t="s">
        <v>11</v>
      </c>
      <c r="F41" s="1" t="s">
        <v>12</v>
      </c>
      <c r="G41" s="1" t="s">
        <v>17</v>
      </c>
      <c r="H41">
        <v>289</v>
      </c>
      <c r="I41">
        <v>3</v>
      </c>
      <c r="J41">
        <v>867</v>
      </c>
    </row>
    <row r="42" spans="1:10" x14ac:dyDescent="0.25">
      <c r="A42">
        <v>41</v>
      </c>
      <c r="B42" s="2">
        <v>43113</v>
      </c>
      <c r="C42">
        <v>9</v>
      </c>
      <c r="D42" s="1" t="s">
        <v>18</v>
      </c>
      <c r="E42" s="1" t="s">
        <v>19</v>
      </c>
      <c r="F42" s="1" t="s">
        <v>20</v>
      </c>
      <c r="G42" s="1" t="s">
        <v>32</v>
      </c>
      <c r="H42">
        <v>399</v>
      </c>
      <c r="I42">
        <v>4</v>
      </c>
      <c r="J42">
        <v>1596</v>
      </c>
    </row>
    <row r="43" spans="1:10" x14ac:dyDescent="0.25">
      <c r="A43">
        <v>42</v>
      </c>
      <c r="B43" s="2">
        <v>43113</v>
      </c>
      <c r="C43">
        <v>17</v>
      </c>
      <c r="D43" s="1" t="s">
        <v>28</v>
      </c>
      <c r="E43" s="1" t="s">
        <v>29</v>
      </c>
      <c r="F43" s="1" t="s">
        <v>24</v>
      </c>
      <c r="G43" s="1" t="s">
        <v>26</v>
      </c>
      <c r="H43">
        <v>69</v>
      </c>
      <c r="I43">
        <v>5</v>
      </c>
      <c r="J43">
        <v>345</v>
      </c>
    </row>
    <row r="44" spans="1:10" x14ac:dyDescent="0.25">
      <c r="A44">
        <v>43</v>
      </c>
      <c r="B44" s="2">
        <v>43113</v>
      </c>
      <c r="C44">
        <v>13</v>
      </c>
      <c r="D44" s="1" t="s">
        <v>27</v>
      </c>
      <c r="E44" s="1" t="s">
        <v>41</v>
      </c>
      <c r="F44" s="1" t="s">
        <v>12</v>
      </c>
      <c r="G44" s="1" t="s">
        <v>21</v>
      </c>
      <c r="H44">
        <v>159</v>
      </c>
      <c r="I44">
        <v>8</v>
      </c>
      <c r="J44">
        <v>1272</v>
      </c>
    </row>
    <row r="45" spans="1:10" x14ac:dyDescent="0.25">
      <c r="A45">
        <v>44</v>
      </c>
      <c r="B45" s="2">
        <v>43113</v>
      </c>
      <c r="C45">
        <v>7</v>
      </c>
      <c r="D45" s="1" t="s">
        <v>44</v>
      </c>
      <c r="E45" s="1" t="s">
        <v>35</v>
      </c>
      <c r="F45" s="1" t="s">
        <v>20</v>
      </c>
      <c r="G45" s="1" t="s">
        <v>32</v>
      </c>
      <c r="H45">
        <v>399</v>
      </c>
      <c r="I45">
        <v>5</v>
      </c>
      <c r="J45">
        <v>1995</v>
      </c>
    </row>
    <row r="46" spans="1:10" x14ac:dyDescent="0.25">
      <c r="A46">
        <v>45</v>
      </c>
      <c r="B46" s="2">
        <v>43113</v>
      </c>
      <c r="C46">
        <v>12</v>
      </c>
      <c r="D46" s="1" t="s">
        <v>42</v>
      </c>
      <c r="E46" s="1" t="s">
        <v>41</v>
      </c>
      <c r="F46" s="1" t="s">
        <v>12</v>
      </c>
      <c r="G46" s="1" t="s">
        <v>17</v>
      </c>
      <c r="H46">
        <v>289</v>
      </c>
      <c r="I46">
        <v>4</v>
      </c>
      <c r="J46">
        <v>1156</v>
      </c>
    </row>
    <row r="47" spans="1:10" x14ac:dyDescent="0.25">
      <c r="A47">
        <v>46</v>
      </c>
      <c r="B47" s="2">
        <v>43113</v>
      </c>
      <c r="C47">
        <v>14</v>
      </c>
      <c r="D47" s="1" t="s">
        <v>30</v>
      </c>
      <c r="E47" s="1" t="s">
        <v>11</v>
      </c>
      <c r="F47" s="1" t="s">
        <v>12</v>
      </c>
      <c r="G47" s="1" t="s">
        <v>21</v>
      </c>
      <c r="H47">
        <v>159</v>
      </c>
      <c r="I47">
        <v>7</v>
      </c>
      <c r="J47">
        <v>1113</v>
      </c>
    </row>
    <row r="48" spans="1:10" x14ac:dyDescent="0.25">
      <c r="A48">
        <v>47</v>
      </c>
      <c r="B48" s="2">
        <v>43113</v>
      </c>
      <c r="C48">
        <v>17</v>
      </c>
      <c r="D48" s="1" t="s">
        <v>28</v>
      </c>
      <c r="E48" s="1" t="s">
        <v>23</v>
      </c>
      <c r="F48" s="1" t="s">
        <v>24</v>
      </c>
      <c r="G48" s="1" t="s">
        <v>17</v>
      </c>
      <c r="H48">
        <v>289</v>
      </c>
      <c r="I48">
        <v>0</v>
      </c>
      <c r="J48">
        <v>0</v>
      </c>
    </row>
    <row r="49" spans="1:10" x14ac:dyDescent="0.25">
      <c r="A49">
        <v>48</v>
      </c>
      <c r="B49" s="2">
        <v>43113</v>
      </c>
      <c r="C49">
        <v>16</v>
      </c>
      <c r="D49" s="1" t="s">
        <v>25</v>
      </c>
      <c r="E49" s="1" t="s">
        <v>23</v>
      </c>
      <c r="F49" s="1" t="s">
        <v>24</v>
      </c>
      <c r="G49" s="1" t="s">
        <v>26</v>
      </c>
      <c r="H49">
        <v>69</v>
      </c>
      <c r="I49">
        <v>1</v>
      </c>
      <c r="J49">
        <v>69</v>
      </c>
    </row>
    <row r="50" spans="1:10" x14ac:dyDescent="0.25">
      <c r="A50">
        <v>49</v>
      </c>
      <c r="B50" s="2">
        <v>43113</v>
      </c>
      <c r="C50">
        <v>4</v>
      </c>
      <c r="D50" s="1" t="s">
        <v>37</v>
      </c>
      <c r="E50" s="1" t="s">
        <v>43</v>
      </c>
      <c r="F50" s="1" t="s">
        <v>16</v>
      </c>
      <c r="G50" s="1" t="s">
        <v>21</v>
      </c>
      <c r="H50">
        <v>159</v>
      </c>
      <c r="I50">
        <v>5</v>
      </c>
      <c r="J50">
        <v>795</v>
      </c>
    </row>
    <row r="51" spans="1:10" x14ac:dyDescent="0.25">
      <c r="A51">
        <v>50</v>
      </c>
      <c r="B51" s="2">
        <v>43113</v>
      </c>
      <c r="C51">
        <v>5</v>
      </c>
      <c r="D51" s="1" t="s">
        <v>40</v>
      </c>
      <c r="E51" s="1" t="s">
        <v>43</v>
      </c>
      <c r="F51" s="1" t="s">
        <v>16</v>
      </c>
      <c r="G51" s="1" t="s">
        <v>21</v>
      </c>
      <c r="H51">
        <v>159</v>
      </c>
      <c r="I51">
        <v>7</v>
      </c>
      <c r="J51">
        <v>1113</v>
      </c>
    </row>
    <row r="52" spans="1:10" x14ac:dyDescent="0.25">
      <c r="A52">
        <v>51</v>
      </c>
      <c r="B52" s="2">
        <v>43113</v>
      </c>
      <c r="C52">
        <v>19</v>
      </c>
      <c r="D52" s="1" t="s">
        <v>38</v>
      </c>
      <c r="E52" s="1" t="s">
        <v>29</v>
      </c>
      <c r="F52" s="1" t="s">
        <v>24</v>
      </c>
      <c r="G52" s="1" t="s">
        <v>32</v>
      </c>
      <c r="H52">
        <v>399</v>
      </c>
      <c r="I52">
        <v>6</v>
      </c>
      <c r="J52">
        <v>2394</v>
      </c>
    </row>
    <row r="53" spans="1:10" x14ac:dyDescent="0.25">
      <c r="A53">
        <v>52</v>
      </c>
      <c r="B53" s="2">
        <v>43113</v>
      </c>
      <c r="C53">
        <v>1</v>
      </c>
      <c r="D53" s="1" t="s">
        <v>14</v>
      </c>
      <c r="E53" s="1" t="s">
        <v>43</v>
      </c>
      <c r="F53" s="1" t="s">
        <v>16</v>
      </c>
      <c r="G53" s="1" t="s">
        <v>26</v>
      </c>
      <c r="H53">
        <v>69</v>
      </c>
      <c r="I53">
        <v>2</v>
      </c>
      <c r="J53">
        <v>138</v>
      </c>
    </row>
    <row r="54" spans="1:10" x14ac:dyDescent="0.25">
      <c r="A54">
        <v>53</v>
      </c>
      <c r="B54" s="2">
        <v>43114</v>
      </c>
      <c r="C54">
        <v>17</v>
      </c>
      <c r="D54" s="1" t="s">
        <v>28</v>
      </c>
      <c r="E54" s="1" t="s">
        <v>29</v>
      </c>
      <c r="F54" s="1" t="s">
        <v>24</v>
      </c>
      <c r="G54" s="1" t="s">
        <v>26</v>
      </c>
      <c r="H54">
        <v>69</v>
      </c>
      <c r="I54">
        <v>7</v>
      </c>
      <c r="J54">
        <v>483</v>
      </c>
    </row>
    <row r="55" spans="1:10" x14ac:dyDescent="0.25">
      <c r="A55">
        <v>54</v>
      </c>
      <c r="B55" s="2">
        <v>43115</v>
      </c>
      <c r="C55">
        <v>8</v>
      </c>
      <c r="D55" s="1" t="s">
        <v>34</v>
      </c>
      <c r="E55" s="1" t="s">
        <v>35</v>
      </c>
      <c r="F55" s="1" t="s">
        <v>20</v>
      </c>
      <c r="G55" s="1" t="s">
        <v>17</v>
      </c>
      <c r="H55">
        <v>289</v>
      </c>
      <c r="I55">
        <v>1</v>
      </c>
      <c r="J55">
        <v>289</v>
      </c>
    </row>
    <row r="56" spans="1:10" x14ac:dyDescent="0.25">
      <c r="A56">
        <v>55</v>
      </c>
      <c r="B56" s="2">
        <v>43115</v>
      </c>
      <c r="C56">
        <v>7</v>
      </c>
      <c r="D56" s="1" t="s">
        <v>44</v>
      </c>
      <c r="E56" s="1" t="s">
        <v>35</v>
      </c>
      <c r="F56" s="1" t="s">
        <v>20</v>
      </c>
      <c r="G56" s="1" t="s">
        <v>32</v>
      </c>
      <c r="H56">
        <v>399</v>
      </c>
      <c r="I56">
        <v>0</v>
      </c>
      <c r="J56">
        <v>0</v>
      </c>
    </row>
    <row r="57" spans="1:10" x14ac:dyDescent="0.25">
      <c r="A57">
        <v>56</v>
      </c>
      <c r="B57" s="2">
        <v>43115</v>
      </c>
      <c r="C57">
        <v>20</v>
      </c>
      <c r="D57" s="1" t="s">
        <v>31</v>
      </c>
      <c r="E57" s="1" t="s">
        <v>29</v>
      </c>
      <c r="F57" s="1" t="s">
        <v>24</v>
      </c>
      <c r="G57" s="1" t="s">
        <v>26</v>
      </c>
      <c r="H57">
        <v>69</v>
      </c>
      <c r="I57">
        <v>9</v>
      </c>
      <c r="J57">
        <v>621</v>
      </c>
    </row>
    <row r="58" spans="1:10" x14ac:dyDescent="0.25">
      <c r="A58">
        <v>57</v>
      </c>
      <c r="B58" s="2">
        <v>43115</v>
      </c>
      <c r="C58">
        <v>8</v>
      </c>
      <c r="D58" s="1" t="s">
        <v>34</v>
      </c>
      <c r="E58" s="1" t="s">
        <v>35</v>
      </c>
      <c r="F58" s="1" t="s">
        <v>20</v>
      </c>
      <c r="G58" s="1" t="s">
        <v>13</v>
      </c>
      <c r="H58">
        <v>199</v>
      </c>
      <c r="I58">
        <v>5</v>
      </c>
      <c r="J58">
        <v>995</v>
      </c>
    </row>
    <row r="59" spans="1:10" x14ac:dyDescent="0.25">
      <c r="A59">
        <v>58</v>
      </c>
      <c r="B59" s="2">
        <v>43115</v>
      </c>
      <c r="C59">
        <v>11</v>
      </c>
      <c r="D59" s="1" t="s">
        <v>10</v>
      </c>
      <c r="E59" s="1" t="s">
        <v>11</v>
      </c>
      <c r="F59" s="1" t="s">
        <v>12</v>
      </c>
      <c r="G59" s="1" t="s">
        <v>26</v>
      </c>
      <c r="H59">
        <v>69</v>
      </c>
      <c r="I59">
        <v>9</v>
      </c>
      <c r="J59">
        <v>621</v>
      </c>
    </row>
    <row r="60" spans="1:10" x14ac:dyDescent="0.25">
      <c r="A60">
        <v>59</v>
      </c>
      <c r="B60" s="2">
        <v>43115</v>
      </c>
      <c r="C60">
        <v>9</v>
      </c>
      <c r="D60" s="1" t="s">
        <v>18</v>
      </c>
      <c r="E60" s="1" t="s">
        <v>19</v>
      </c>
      <c r="F60" s="1" t="s">
        <v>20</v>
      </c>
      <c r="G60" s="1" t="s">
        <v>32</v>
      </c>
      <c r="H60">
        <v>399</v>
      </c>
      <c r="I60">
        <v>7</v>
      </c>
      <c r="J60">
        <v>2793</v>
      </c>
    </row>
    <row r="61" spans="1:10" x14ac:dyDescent="0.25">
      <c r="A61">
        <v>60</v>
      </c>
      <c r="B61" s="2">
        <v>43115</v>
      </c>
      <c r="C61">
        <v>10</v>
      </c>
      <c r="D61" s="1" t="s">
        <v>39</v>
      </c>
      <c r="E61" s="1" t="s">
        <v>35</v>
      </c>
      <c r="F61" s="1" t="s">
        <v>20</v>
      </c>
      <c r="G61" s="1" t="s">
        <v>13</v>
      </c>
      <c r="H61">
        <v>199</v>
      </c>
      <c r="I61">
        <v>3</v>
      </c>
      <c r="J61">
        <v>597</v>
      </c>
    </row>
    <row r="62" spans="1:10" x14ac:dyDescent="0.25">
      <c r="A62">
        <v>61</v>
      </c>
      <c r="B62" s="2">
        <v>43116</v>
      </c>
      <c r="C62">
        <v>2</v>
      </c>
      <c r="D62" s="1" t="s">
        <v>45</v>
      </c>
      <c r="E62" s="1" t="s">
        <v>15</v>
      </c>
      <c r="F62" s="1" t="s">
        <v>16</v>
      </c>
      <c r="G62" s="1" t="s">
        <v>21</v>
      </c>
      <c r="H62">
        <v>159</v>
      </c>
      <c r="I62">
        <v>8</v>
      </c>
      <c r="J62">
        <v>1272</v>
      </c>
    </row>
    <row r="63" spans="1:10" x14ac:dyDescent="0.25">
      <c r="A63">
        <v>62</v>
      </c>
      <c r="B63" s="2">
        <v>43117</v>
      </c>
      <c r="C63">
        <v>20</v>
      </c>
      <c r="D63" s="1" t="s">
        <v>31</v>
      </c>
      <c r="E63" s="1" t="s">
        <v>29</v>
      </c>
      <c r="F63" s="1" t="s">
        <v>24</v>
      </c>
      <c r="G63" s="1" t="s">
        <v>21</v>
      </c>
      <c r="H63">
        <v>159</v>
      </c>
      <c r="I63">
        <v>9</v>
      </c>
      <c r="J63">
        <v>1431</v>
      </c>
    </row>
    <row r="64" spans="1:10" x14ac:dyDescent="0.25">
      <c r="A64">
        <v>63</v>
      </c>
      <c r="B64" s="2">
        <v>43117</v>
      </c>
      <c r="C64">
        <v>9</v>
      </c>
      <c r="D64" s="1" t="s">
        <v>18</v>
      </c>
      <c r="E64" s="1" t="s">
        <v>35</v>
      </c>
      <c r="F64" s="1" t="s">
        <v>20</v>
      </c>
      <c r="G64" s="1" t="s">
        <v>17</v>
      </c>
      <c r="H64">
        <v>289</v>
      </c>
      <c r="I64">
        <v>7</v>
      </c>
      <c r="J64">
        <v>2023</v>
      </c>
    </row>
    <row r="65" spans="1:10" x14ac:dyDescent="0.25">
      <c r="A65">
        <v>64</v>
      </c>
      <c r="B65" s="2">
        <v>43118</v>
      </c>
      <c r="C65">
        <v>9</v>
      </c>
      <c r="D65" s="1" t="s">
        <v>18</v>
      </c>
      <c r="E65" s="1" t="s">
        <v>35</v>
      </c>
      <c r="F65" s="1" t="s">
        <v>20</v>
      </c>
      <c r="G65" s="1" t="s">
        <v>32</v>
      </c>
      <c r="H65">
        <v>399</v>
      </c>
      <c r="I65">
        <v>1</v>
      </c>
      <c r="J65">
        <v>399</v>
      </c>
    </row>
    <row r="66" spans="1:10" x14ac:dyDescent="0.25">
      <c r="A66">
        <v>65</v>
      </c>
      <c r="B66" s="2">
        <v>43119</v>
      </c>
      <c r="C66">
        <v>9</v>
      </c>
      <c r="D66" s="1" t="s">
        <v>18</v>
      </c>
      <c r="E66" s="1" t="s">
        <v>35</v>
      </c>
      <c r="F66" s="1" t="s">
        <v>20</v>
      </c>
      <c r="G66" s="1" t="s">
        <v>13</v>
      </c>
      <c r="H66">
        <v>199</v>
      </c>
      <c r="I66">
        <v>6</v>
      </c>
      <c r="J66">
        <v>1194</v>
      </c>
    </row>
    <row r="67" spans="1:10" x14ac:dyDescent="0.25">
      <c r="A67">
        <v>66</v>
      </c>
      <c r="B67" s="2">
        <v>43119</v>
      </c>
      <c r="C67">
        <v>10</v>
      </c>
      <c r="D67" s="1" t="s">
        <v>39</v>
      </c>
      <c r="E67" s="1" t="s">
        <v>35</v>
      </c>
      <c r="F67" s="1" t="s">
        <v>20</v>
      </c>
      <c r="G67" s="1" t="s">
        <v>17</v>
      </c>
      <c r="H67">
        <v>289</v>
      </c>
      <c r="I67">
        <v>3</v>
      </c>
      <c r="J67">
        <v>867</v>
      </c>
    </row>
    <row r="68" spans="1:10" x14ac:dyDescent="0.25">
      <c r="A68">
        <v>67</v>
      </c>
      <c r="B68" s="2">
        <v>43120</v>
      </c>
      <c r="C68">
        <v>16</v>
      </c>
      <c r="D68" s="1" t="s">
        <v>25</v>
      </c>
      <c r="E68" s="1" t="s">
        <v>23</v>
      </c>
      <c r="F68" s="1" t="s">
        <v>24</v>
      </c>
      <c r="G68" s="1" t="s">
        <v>26</v>
      </c>
      <c r="H68">
        <v>69</v>
      </c>
      <c r="I68">
        <v>2</v>
      </c>
      <c r="J68">
        <v>138</v>
      </c>
    </row>
    <row r="69" spans="1:10" x14ac:dyDescent="0.25">
      <c r="A69">
        <v>68</v>
      </c>
      <c r="B69" s="2">
        <v>43120</v>
      </c>
      <c r="C69">
        <v>13</v>
      </c>
      <c r="D69" s="1" t="s">
        <v>27</v>
      </c>
      <c r="E69" s="1" t="s">
        <v>41</v>
      </c>
      <c r="F69" s="1" t="s">
        <v>12</v>
      </c>
      <c r="G69" s="1" t="s">
        <v>13</v>
      </c>
      <c r="H69">
        <v>199</v>
      </c>
      <c r="I69">
        <v>8</v>
      </c>
      <c r="J69">
        <v>1592</v>
      </c>
    </row>
    <row r="70" spans="1:10" x14ac:dyDescent="0.25">
      <c r="A70">
        <v>69</v>
      </c>
      <c r="B70" s="2">
        <v>43121</v>
      </c>
      <c r="C70">
        <v>19</v>
      </c>
      <c r="D70" s="1" t="s">
        <v>38</v>
      </c>
      <c r="E70" s="1" t="s">
        <v>29</v>
      </c>
      <c r="F70" s="1" t="s">
        <v>24</v>
      </c>
      <c r="G70" s="1" t="s">
        <v>13</v>
      </c>
      <c r="H70">
        <v>199</v>
      </c>
      <c r="I70">
        <v>8</v>
      </c>
      <c r="J70">
        <v>1592</v>
      </c>
    </row>
    <row r="71" spans="1:10" x14ac:dyDescent="0.25">
      <c r="A71">
        <v>70</v>
      </c>
      <c r="B71" s="2">
        <v>43121</v>
      </c>
      <c r="C71">
        <v>6</v>
      </c>
      <c r="D71" s="1" t="s">
        <v>36</v>
      </c>
      <c r="E71" s="1" t="s">
        <v>35</v>
      </c>
      <c r="F71" s="1" t="s">
        <v>20</v>
      </c>
      <c r="G71" s="1" t="s">
        <v>13</v>
      </c>
      <c r="H71">
        <v>199</v>
      </c>
      <c r="I71">
        <v>0</v>
      </c>
      <c r="J71">
        <v>0</v>
      </c>
    </row>
    <row r="72" spans="1:10" x14ac:dyDescent="0.25">
      <c r="A72">
        <v>71</v>
      </c>
      <c r="B72" s="2">
        <v>43121</v>
      </c>
      <c r="C72">
        <v>17</v>
      </c>
      <c r="D72" s="1" t="s">
        <v>28</v>
      </c>
      <c r="E72" s="1" t="s">
        <v>23</v>
      </c>
      <c r="F72" s="1" t="s">
        <v>24</v>
      </c>
      <c r="G72" s="1" t="s">
        <v>21</v>
      </c>
      <c r="H72">
        <v>159</v>
      </c>
      <c r="I72">
        <v>4</v>
      </c>
      <c r="J72">
        <v>636</v>
      </c>
    </row>
    <row r="73" spans="1:10" x14ac:dyDescent="0.25">
      <c r="A73">
        <v>72</v>
      </c>
      <c r="B73" s="2">
        <v>43122</v>
      </c>
      <c r="C73">
        <v>15</v>
      </c>
      <c r="D73" s="1" t="s">
        <v>46</v>
      </c>
      <c r="E73" s="1" t="s">
        <v>41</v>
      </c>
      <c r="F73" s="1" t="s">
        <v>12</v>
      </c>
      <c r="G73" s="1" t="s">
        <v>32</v>
      </c>
      <c r="H73">
        <v>399</v>
      </c>
      <c r="I73">
        <v>4</v>
      </c>
      <c r="J73">
        <v>1596</v>
      </c>
    </row>
    <row r="74" spans="1:10" x14ac:dyDescent="0.25">
      <c r="A74">
        <v>73</v>
      </c>
      <c r="B74" s="2">
        <v>43123</v>
      </c>
      <c r="C74">
        <v>15</v>
      </c>
      <c r="D74" s="1" t="s">
        <v>46</v>
      </c>
      <c r="E74" s="1" t="s">
        <v>41</v>
      </c>
      <c r="F74" s="1" t="s">
        <v>12</v>
      </c>
      <c r="G74" s="1" t="s">
        <v>21</v>
      </c>
      <c r="H74">
        <v>159</v>
      </c>
      <c r="I74">
        <v>1</v>
      </c>
      <c r="J74">
        <v>159</v>
      </c>
    </row>
    <row r="75" spans="1:10" x14ac:dyDescent="0.25">
      <c r="A75">
        <v>74</v>
      </c>
      <c r="B75" s="2">
        <v>43123</v>
      </c>
      <c r="C75">
        <v>20</v>
      </c>
      <c r="D75" s="1" t="s">
        <v>31</v>
      </c>
      <c r="E75" s="1" t="s">
        <v>23</v>
      </c>
      <c r="F75" s="1" t="s">
        <v>24</v>
      </c>
      <c r="G75" s="1" t="s">
        <v>17</v>
      </c>
      <c r="H75">
        <v>289</v>
      </c>
      <c r="I75">
        <v>1</v>
      </c>
      <c r="J75">
        <v>289</v>
      </c>
    </row>
    <row r="76" spans="1:10" x14ac:dyDescent="0.25">
      <c r="A76">
        <v>75</v>
      </c>
      <c r="B76" s="2">
        <v>43123</v>
      </c>
      <c r="C76">
        <v>13</v>
      </c>
      <c r="D76" s="1" t="s">
        <v>27</v>
      </c>
      <c r="E76" s="1" t="s">
        <v>11</v>
      </c>
      <c r="F76" s="1" t="s">
        <v>12</v>
      </c>
      <c r="G76" s="1" t="s">
        <v>17</v>
      </c>
      <c r="H76">
        <v>289</v>
      </c>
      <c r="I76">
        <v>5</v>
      </c>
      <c r="J76">
        <v>1445</v>
      </c>
    </row>
    <row r="77" spans="1:10" x14ac:dyDescent="0.25">
      <c r="A77">
        <v>76</v>
      </c>
      <c r="B77" s="2">
        <v>43124</v>
      </c>
      <c r="C77">
        <v>18</v>
      </c>
      <c r="D77" s="1" t="s">
        <v>22</v>
      </c>
      <c r="E77" s="1" t="s">
        <v>23</v>
      </c>
      <c r="F77" s="1" t="s">
        <v>24</v>
      </c>
      <c r="G77" s="1" t="s">
        <v>26</v>
      </c>
      <c r="H77">
        <v>69</v>
      </c>
      <c r="I77">
        <v>7</v>
      </c>
      <c r="J77">
        <v>483</v>
      </c>
    </row>
    <row r="78" spans="1:10" x14ac:dyDescent="0.25">
      <c r="A78">
        <v>77</v>
      </c>
      <c r="B78" s="2">
        <v>43124</v>
      </c>
      <c r="C78">
        <v>8</v>
      </c>
      <c r="D78" s="1" t="s">
        <v>34</v>
      </c>
      <c r="E78" s="1" t="s">
        <v>35</v>
      </c>
      <c r="F78" s="1" t="s">
        <v>20</v>
      </c>
      <c r="G78" s="1" t="s">
        <v>26</v>
      </c>
      <c r="H78">
        <v>69</v>
      </c>
      <c r="I78">
        <v>2</v>
      </c>
      <c r="J78">
        <v>138</v>
      </c>
    </row>
    <row r="79" spans="1:10" x14ac:dyDescent="0.25">
      <c r="A79">
        <v>78</v>
      </c>
      <c r="B79" s="2">
        <v>43124</v>
      </c>
      <c r="C79">
        <v>5</v>
      </c>
      <c r="D79" s="1" t="s">
        <v>40</v>
      </c>
      <c r="E79" s="1" t="s">
        <v>43</v>
      </c>
      <c r="F79" s="1" t="s">
        <v>16</v>
      </c>
      <c r="G79" s="1" t="s">
        <v>17</v>
      </c>
      <c r="H79">
        <v>289</v>
      </c>
      <c r="I79">
        <v>1</v>
      </c>
      <c r="J79">
        <v>289</v>
      </c>
    </row>
    <row r="80" spans="1:10" x14ac:dyDescent="0.25">
      <c r="A80">
        <v>79</v>
      </c>
      <c r="B80" s="2">
        <v>43124</v>
      </c>
      <c r="C80">
        <v>19</v>
      </c>
      <c r="D80" s="1" t="s">
        <v>38</v>
      </c>
      <c r="E80" s="1" t="s">
        <v>23</v>
      </c>
      <c r="F80" s="1" t="s">
        <v>24</v>
      </c>
      <c r="G80" s="1" t="s">
        <v>17</v>
      </c>
      <c r="H80">
        <v>289</v>
      </c>
      <c r="I80">
        <v>8</v>
      </c>
      <c r="J80">
        <v>2312</v>
      </c>
    </row>
    <row r="81" spans="1:10" x14ac:dyDescent="0.25">
      <c r="A81">
        <v>80</v>
      </c>
      <c r="B81" s="2">
        <v>43124</v>
      </c>
      <c r="C81">
        <v>10</v>
      </c>
      <c r="D81" s="1" t="s">
        <v>39</v>
      </c>
      <c r="E81" s="1" t="s">
        <v>19</v>
      </c>
      <c r="F81" s="1" t="s">
        <v>20</v>
      </c>
      <c r="G81" s="1" t="s">
        <v>17</v>
      </c>
      <c r="H81">
        <v>289</v>
      </c>
      <c r="I81">
        <v>3</v>
      </c>
      <c r="J81">
        <v>867</v>
      </c>
    </row>
    <row r="82" spans="1:10" x14ac:dyDescent="0.25">
      <c r="A82">
        <v>81</v>
      </c>
      <c r="B82" s="2">
        <v>43124</v>
      </c>
      <c r="C82">
        <v>7</v>
      </c>
      <c r="D82" s="1" t="s">
        <v>44</v>
      </c>
      <c r="E82" s="1" t="s">
        <v>35</v>
      </c>
      <c r="F82" s="1" t="s">
        <v>20</v>
      </c>
      <c r="G82" s="1" t="s">
        <v>32</v>
      </c>
      <c r="H82">
        <v>399</v>
      </c>
      <c r="I82">
        <v>6</v>
      </c>
      <c r="J82">
        <v>2394</v>
      </c>
    </row>
    <row r="83" spans="1:10" x14ac:dyDescent="0.25">
      <c r="A83">
        <v>82</v>
      </c>
      <c r="B83" s="2">
        <v>43124</v>
      </c>
      <c r="C83">
        <v>5</v>
      </c>
      <c r="D83" s="1" t="s">
        <v>40</v>
      </c>
      <c r="E83" s="1" t="s">
        <v>15</v>
      </c>
      <c r="F83" s="1" t="s">
        <v>16</v>
      </c>
      <c r="G83" s="1" t="s">
        <v>26</v>
      </c>
      <c r="H83">
        <v>69</v>
      </c>
      <c r="I83">
        <v>1</v>
      </c>
      <c r="J83">
        <v>69</v>
      </c>
    </row>
    <row r="84" spans="1:10" x14ac:dyDescent="0.25">
      <c r="A84">
        <v>83</v>
      </c>
      <c r="B84" s="2">
        <v>43124</v>
      </c>
      <c r="C84">
        <v>10</v>
      </c>
      <c r="D84" s="1" t="s">
        <v>39</v>
      </c>
      <c r="E84" s="1" t="s">
        <v>35</v>
      </c>
      <c r="F84" s="1" t="s">
        <v>20</v>
      </c>
      <c r="G84" s="1" t="s">
        <v>26</v>
      </c>
      <c r="H84">
        <v>69</v>
      </c>
      <c r="I84">
        <v>2</v>
      </c>
      <c r="J84">
        <v>138</v>
      </c>
    </row>
    <row r="85" spans="1:10" x14ac:dyDescent="0.25">
      <c r="A85">
        <v>84</v>
      </c>
      <c r="B85" s="2">
        <v>43125</v>
      </c>
      <c r="C85">
        <v>18</v>
      </c>
      <c r="D85" s="1" t="s">
        <v>22</v>
      </c>
      <c r="E85" s="1" t="s">
        <v>29</v>
      </c>
      <c r="F85" s="1" t="s">
        <v>24</v>
      </c>
      <c r="G85" s="1" t="s">
        <v>32</v>
      </c>
      <c r="H85">
        <v>399</v>
      </c>
      <c r="I85">
        <v>1</v>
      </c>
      <c r="J85">
        <v>399</v>
      </c>
    </row>
    <row r="86" spans="1:10" x14ac:dyDescent="0.25">
      <c r="A86">
        <v>85</v>
      </c>
      <c r="B86" s="2">
        <v>43126</v>
      </c>
      <c r="C86">
        <v>4</v>
      </c>
      <c r="D86" s="1" t="s">
        <v>37</v>
      </c>
      <c r="E86" s="1" t="s">
        <v>43</v>
      </c>
      <c r="F86" s="1" t="s">
        <v>16</v>
      </c>
      <c r="G86" s="1" t="s">
        <v>32</v>
      </c>
      <c r="H86">
        <v>399</v>
      </c>
      <c r="I86">
        <v>9</v>
      </c>
      <c r="J86">
        <v>3591</v>
      </c>
    </row>
    <row r="87" spans="1:10" x14ac:dyDescent="0.25">
      <c r="A87">
        <v>86</v>
      </c>
      <c r="B87" s="2">
        <v>43126</v>
      </c>
      <c r="C87">
        <v>12</v>
      </c>
      <c r="D87" s="1" t="s">
        <v>42</v>
      </c>
      <c r="E87" s="1" t="s">
        <v>11</v>
      </c>
      <c r="F87" s="1" t="s">
        <v>12</v>
      </c>
      <c r="G87" s="1" t="s">
        <v>32</v>
      </c>
      <c r="H87">
        <v>399</v>
      </c>
      <c r="I87">
        <v>2</v>
      </c>
      <c r="J87">
        <v>798</v>
      </c>
    </row>
    <row r="88" spans="1:10" x14ac:dyDescent="0.25">
      <c r="A88">
        <v>87</v>
      </c>
      <c r="B88" s="2">
        <v>43127</v>
      </c>
      <c r="C88">
        <v>17</v>
      </c>
      <c r="D88" s="1" t="s">
        <v>28</v>
      </c>
      <c r="E88" s="1" t="s">
        <v>29</v>
      </c>
      <c r="F88" s="1" t="s">
        <v>24</v>
      </c>
      <c r="G88" s="1" t="s">
        <v>21</v>
      </c>
      <c r="H88">
        <v>159</v>
      </c>
      <c r="I88">
        <v>3</v>
      </c>
      <c r="J88">
        <v>477</v>
      </c>
    </row>
    <row r="89" spans="1:10" x14ac:dyDescent="0.25">
      <c r="A89">
        <v>88</v>
      </c>
      <c r="B89" s="2">
        <v>43127</v>
      </c>
      <c r="C89">
        <v>12</v>
      </c>
      <c r="D89" s="1" t="s">
        <v>42</v>
      </c>
      <c r="E89" s="1" t="s">
        <v>11</v>
      </c>
      <c r="F89" s="1" t="s">
        <v>12</v>
      </c>
      <c r="G89" s="1" t="s">
        <v>26</v>
      </c>
      <c r="H89">
        <v>69</v>
      </c>
      <c r="I89">
        <v>2</v>
      </c>
      <c r="J89">
        <v>138</v>
      </c>
    </row>
    <row r="90" spans="1:10" x14ac:dyDescent="0.25">
      <c r="A90">
        <v>89</v>
      </c>
      <c r="B90" s="2">
        <v>43127</v>
      </c>
      <c r="C90">
        <v>8</v>
      </c>
      <c r="D90" s="1" t="s">
        <v>34</v>
      </c>
      <c r="E90" s="1" t="s">
        <v>19</v>
      </c>
      <c r="F90" s="1" t="s">
        <v>20</v>
      </c>
      <c r="G90" s="1" t="s">
        <v>13</v>
      </c>
      <c r="H90">
        <v>199</v>
      </c>
      <c r="I90">
        <v>5</v>
      </c>
      <c r="J90">
        <v>995</v>
      </c>
    </row>
    <row r="91" spans="1:10" x14ac:dyDescent="0.25">
      <c r="A91">
        <v>90</v>
      </c>
      <c r="B91" s="2">
        <v>43127</v>
      </c>
      <c r="C91">
        <v>12</v>
      </c>
      <c r="D91" s="1" t="s">
        <v>42</v>
      </c>
      <c r="E91" s="1" t="s">
        <v>41</v>
      </c>
      <c r="F91" s="1" t="s">
        <v>12</v>
      </c>
      <c r="G91" s="1" t="s">
        <v>26</v>
      </c>
      <c r="H91">
        <v>69</v>
      </c>
      <c r="I91">
        <v>2</v>
      </c>
      <c r="J91">
        <v>138</v>
      </c>
    </row>
    <row r="92" spans="1:10" x14ac:dyDescent="0.25">
      <c r="A92">
        <v>91</v>
      </c>
      <c r="B92" s="2">
        <v>43127</v>
      </c>
      <c r="C92">
        <v>19</v>
      </c>
      <c r="D92" s="1" t="s">
        <v>38</v>
      </c>
      <c r="E92" s="1" t="s">
        <v>29</v>
      </c>
      <c r="F92" s="1" t="s">
        <v>24</v>
      </c>
      <c r="G92" s="1" t="s">
        <v>17</v>
      </c>
      <c r="H92">
        <v>289</v>
      </c>
      <c r="I92">
        <v>4</v>
      </c>
      <c r="J92">
        <v>1156</v>
      </c>
    </row>
    <row r="93" spans="1:10" x14ac:dyDescent="0.25">
      <c r="A93">
        <v>92</v>
      </c>
      <c r="B93" s="2">
        <v>43128</v>
      </c>
      <c r="C93">
        <v>20</v>
      </c>
      <c r="D93" s="1" t="s">
        <v>31</v>
      </c>
      <c r="E93" s="1" t="s">
        <v>23</v>
      </c>
      <c r="F93" s="1" t="s">
        <v>24</v>
      </c>
      <c r="G93" s="1" t="s">
        <v>32</v>
      </c>
      <c r="H93">
        <v>399</v>
      </c>
      <c r="I93">
        <v>6</v>
      </c>
      <c r="J93">
        <v>2394</v>
      </c>
    </row>
    <row r="94" spans="1:10" x14ac:dyDescent="0.25">
      <c r="A94">
        <v>93</v>
      </c>
      <c r="B94" s="2">
        <v>43129</v>
      </c>
      <c r="C94">
        <v>7</v>
      </c>
      <c r="D94" s="1" t="s">
        <v>44</v>
      </c>
      <c r="E94" s="1" t="s">
        <v>19</v>
      </c>
      <c r="F94" s="1" t="s">
        <v>20</v>
      </c>
      <c r="G94" s="1" t="s">
        <v>32</v>
      </c>
      <c r="H94">
        <v>399</v>
      </c>
      <c r="I94">
        <v>1</v>
      </c>
      <c r="J94">
        <v>399</v>
      </c>
    </row>
    <row r="95" spans="1:10" x14ac:dyDescent="0.25">
      <c r="A95">
        <v>94</v>
      </c>
      <c r="B95" s="2">
        <v>43129</v>
      </c>
      <c r="C95">
        <v>8</v>
      </c>
      <c r="D95" s="1" t="s">
        <v>34</v>
      </c>
      <c r="E95" s="1" t="s">
        <v>19</v>
      </c>
      <c r="F95" s="1" t="s">
        <v>20</v>
      </c>
      <c r="G95" s="1" t="s">
        <v>13</v>
      </c>
      <c r="H95">
        <v>199</v>
      </c>
      <c r="I95">
        <v>2</v>
      </c>
      <c r="J95">
        <v>398</v>
      </c>
    </row>
    <row r="96" spans="1:10" x14ac:dyDescent="0.25">
      <c r="A96">
        <v>95</v>
      </c>
      <c r="B96" s="2">
        <v>43129</v>
      </c>
      <c r="C96">
        <v>7</v>
      </c>
      <c r="D96" s="1" t="s">
        <v>44</v>
      </c>
      <c r="E96" s="1" t="s">
        <v>35</v>
      </c>
      <c r="F96" s="1" t="s">
        <v>20</v>
      </c>
      <c r="G96" s="1" t="s">
        <v>26</v>
      </c>
      <c r="H96">
        <v>69</v>
      </c>
      <c r="I96">
        <v>8</v>
      </c>
      <c r="J96">
        <v>552</v>
      </c>
    </row>
    <row r="97" spans="1:10" x14ac:dyDescent="0.25">
      <c r="A97">
        <v>96</v>
      </c>
      <c r="B97" s="2">
        <v>43130</v>
      </c>
      <c r="C97">
        <v>15</v>
      </c>
      <c r="D97" s="1" t="s">
        <v>46</v>
      </c>
      <c r="E97" s="1" t="s">
        <v>11</v>
      </c>
      <c r="F97" s="1" t="s">
        <v>12</v>
      </c>
      <c r="G97" s="1" t="s">
        <v>26</v>
      </c>
      <c r="H97">
        <v>69</v>
      </c>
      <c r="I97">
        <v>9</v>
      </c>
      <c r="J97">
        <v>621</v>
      </c>
    </row>
    <row r="98" spans="1:10" x14ac:dyDescent="0.25">
      <c r="A98">
        <v>97</v>
      </c>
      <c r="B98" s="2">
        <v>43130</v>
      </c>
      <c r="C98">
        <v>11</v>
      </c>
      <c r="D98" s="1" t="s">
        <v>10</v>
      </c>
      <c r="E98" s="1" t="s">
        <v>41</v>
      </c>
      <c r="F98" s="1" t="s">
        <v>12</v>
      </c>
      <c r="G98" s="1" t="s">
        <v>26</v>
      </c>
      <c r="H98">
        <v>69</v>
      </c>
      <c r="I98">
        <v>7</v>
      </c>
      <c r="J98">
        <v>483</v>
      </c>
    </row>
    <row r="99" spans="1:10" x14ac:dyDescent="0.25">
      <c r="A99">
        <v>98</v>
      </c>
      <c r="B99" s="2">
        <v>43130</v>
      </c>
      <c r="C99">
        <v>19</v>
      </c>
      <c r="D99" s="1" t="s">
        <v>38</v>
      </c>
      <c r="E99" s="1" t="s">
        <v>23</v>
      </c>
      <c r="F99" s="1" t="s">
        <v>24</v>
      </c>
      <c r="G99" s="1" t="s">
        <v>21</v>
      </c>
      <c r="H99">
        <v>159</v>
      </c>
      <c r="I99">
        <v>8</v>
      </c>
      <c r="J99">
        <v>1272</v>
      </c>
    </row>
    <row r="100" spans="1:10" x14ac:dyDescent="0.25">
      <c r="A100">
        <v>99</v>
      </c>
      <c r="B100" s="2">
        <v>43130</v>
      </c>
      <c r="C100">
        <v>8</v>
      </c>
      <c r="D100" s="1" t="s">
        <v>34</v>
      </c>
      <c r="E100" s="1" t="s">
        <v>35</v>
      </c>
      <c r="F100" s="1" t="s">
        <v>20</v>
      </c>
      <c r="G100" s="1" t="s">
        <v>13</v>
      </c>
      <c r="H100">
        <v>199</v>
      </c>
      <c r="I100">
        <v>9</v>
      </c>
      <c r="J100">
        <v>1791</v>
      </c>
    </row>
    <row r="101" spans="1:10" x14ac:dyDescent="0.25">
      <c r="A101">
        <v>100</v>
      </c>
      <c r="B101" s="2">
        <v>43130</v>
      </c>
      <c r="C101">
        <v>12</v>
      </c>
      <c r="D101" s="1" t="s">
        <v>42</v>
      </c>
      <c r="E101" s="1" t="s">
        <v>11</v>
      </c>
      <c r="F101" s="1" t="s">
        <v>12</v>
      </c>
      <c r="G101" s="1" t="s">
        <v>13</v>
      </c>
      <c r="H101">
        <v>199</v>
      </c>
      <c r="I101">
        <v>5</v>
      </c>
      <c r="J101">
        <v>995</v>
      </c>
    </row>
    <row r="102" spans="1:10" x14ac:dyDescent="0.25">
      <c r="A102">
        <v>101</v>
      </c>
      <c r="B102" s="2">
        <v>43131</v>
      </c>
      <c r="C102">
        <v>18</v>
      </c>
      <c r="D102" s="1" t="s">
        <v>22</v>
      </c>
      <c r="E102" s="1" t="s">
        <v>23</v>
      </c>
      <c r="F102" s="1" t="s">
        <v>24</v>
      </c>
      <c r="G102" s="1" t="s">
        <v>26</v>
      </c>
      <c r="H102">
        <v>69</v>
      </c>
      <c r="I102">
        <v>4</v>
      </c>
      <c r="J102">
        <v>276</v>
      </c>
    </row>
    <row r="103" spans="1:10" x14ac:dyDescent="0.25">
      <c r="A103">
        <v>102</v>
      </c>
      <c r="B103" s="2">
        <v>43132</v>
      </c>
      <c r="C103">
        <v>10</v>
      </c>
      <c r="D103" s="1" t="s">
        <v>39</v>
      </c>
      <c r="E103" s="1" t="s">
        <v>19</v>
      </c>
      <c r="F103" s="1" t="s">
        <v>20</v>
      </c>
      <c r="G103" s="1" t="s">
        <v>26</v>
      </c>
      <c r="H103">
        <v>69</v>
      </c>
      <c r="I103">
        <v>4</v>
      </c>
      <c r="J103">
        <v>276</v>
      </c>
    </row>
    <row r="104" spans="1:10" x14ac:dyDescent="0.25">
      <c r="A104">
        <v>103</v>
      </c>
      <c r="B104" s="2">
        <v>43132</v>
      </c>
      <c r="C104">
        <v>20</v>
      </c>
      <c r="D104" s="1" t="s">
        <v>31</v>
      </c>
      <c r="E104" s="1" t="s">
        <v>29</v>
      </c>
      <c r="F104" s="1" t="s">
        <v>24</v>
      </c>
      <c r="G104" s="1" t="s">
        <v>26</v>
      </c>
      <c r="H104">
        <v>69</v>
      </c>
      <c r="I104">
        <v>6</v>
      </c>
      <c r="J104">
        <v>414</v>
      </c>
    </row>
    <row r="105" spans="1:10" x14ac:dyDescent="0.25">
      <c r="A105">
        <v>104</v>
      </c>
      <c r="B105" s="2">
        <v>43133</v>
      </c>
      <c r="C105">
        <v>4</v>
      </c>
      <c r="D105" s="1" t="s">
        <v>37</v>
      </c>
      <c r="E105" s="1" t="s">
        <v>43</v>
      </c>
      <c r="F105" s="1" t="s">
        <v>16</v>
      </c>
      <c r="G105" s="1" t="s">
        <v>32</v>
      </c>
      <c r="H105">
        <v>399</v>
      </c>
      <c r="I105">
        <v>1</v>
      </c>
      <c r="J105">
        <v>399</v>
      </c>
    </row>
    <row r="106" spans="1:10" x14ac:dyDescent="0.25">
      <c r="A106">
        <v>105</v>
      </c>
      <c r="B106" s="2">
        <v>43133</v>
      </c>
      <c r="C106">
        <v>11</v>
      </c>
      <c r="D106" s="1" t="s">
        <v>10</v>
      </c>
      <c r="E106" s="1" t="s">
        <v>11</v>
      </c>
      <c r="F106" s="1" t="s">
        <v>12</v>
      </c>
      <c r="G106" s="1" t="s">
        <v>21</v>
      </c>
      <c r="H106">
        <v>159</v>
      </c>
      <c r="I106">
        <v>0</v>
      </c>
      <c r="J106">
        <v>0</v>
      </c>
    </row>
    <row r="107" spans="1:10" x14ac:dyDescent="0.25">
      <c r="A107">
        <v>106</v>
      </c>
      <c r="B107" s="2">
        <v>43133</v>
      </c>
      <c r="C107">
        <v>2</v>
      </c>
      <c r="D107" s="1" t="s">
        <v>45</v>
      </c>
      <c r="E107" s="1" t="s">
        <v>43</v>
      </c>
      <c r="F107" s="1" t="s">
        <v>16</v>
      </c>
      <c r="G107" s="1" t="s">
        <v>21</v>
      </c>
      <c r="H107">
        <v>159</v>
      </c>
      <c r="I107">
        <v>5</v>
      </c>
      <c r="J107">
        <v>795</v>
      </c>
    </row>
    <row r="108" spans="1:10" x14ac:dyDescent="0.25">
      <c r="A108">
        <v>107</v>
      </c>
      <c r="B108" s="2">
        <v>43133</v>
      </c>
      <c r="C108">
        <v>7</v>
      </c>
      <c r="D108" s="1" t="s">
        <v>44</v>
      </c>
      <c r="E108" s="1" t="s">
        <v>19</v>
      </c>
      <c r="F108" s="1" t="s">
        <v>20</v>
      </c>
      <c r="G108" s="1" t="s">
        <v>21</v>
      </c>
      <c r="H108">
        <v>159</v>
      </c>
      <c r="I108">
        <v>5</v>
      </c>
      <c r="J108">
        <v>795</v>
      </c>
    </row>
    <row r="109" spans="1:10" x14ac:dyDescent="0.25">
      <c r="A109">
        <v>108</v>
      </c>
      <c r="B109" s="2">
        <v>43133</v>
      </c>
      <c r="C109">
        <v>15</v>
      </c>
      <c r="D109" s="1" t="s">
        <v>46</v>
      </c>
      <c r="E109" s="1" t="s">
        <v>41</v>
      </c>
      <c r="F109" s="1" t="s">
        <v>12</v>
      </c>
      <c r="G109" s="1" t="s">
        <v>32</v>
      </c>
      <c r="H109">
        <v>399</v>
      </c>
      <c r="I109">
        <v>2</v>
      </c>
      <c r="J109">
        <v>798</v>
      </c>
    </row>
    <row r="110" spans="1:10" x14ac:dyDescent="0.25">
      <c r="A110">
        <v>109</v>
      </c>
      <c r="B110" s="2">
        <v>43133</v>
      </c>
      <c r="C110">
        <v>20</v>
      </c>
      <c r="D110" s="1" t="s">
        <v>31</v>
      </c>
      <c r="E110" s="1" t="s">
        <v>23</v>
      </c>
      <c r="F110" s="1" t="s">
        <v>24</v>
      </c>
      <c r="G110" s="1" t="s">
        <v>21</v>
      </c>
      <c r="H110">
        <v>159</v>
      </c>
      <c r="I110">
        <v>7</v>
      </c>
      <c r="J110">
        <v>1113</v>
      </c>
    </row>
    <row r="111" spans="1:10" x14ac:dyDescent="0.25">
      <c r="A111">
        <v>110</v>
      </c>
      <c r="B111" s="2">
        <v>43134</v>
      </c>
      <c r="C111">
        <v>16</v>
      </c>
      <c r="D111" s="1" t="s">
        <v>25</v>
      </c>
      <c r="E111" s="1" t="s">
        <v>23</v>
      </c>
      <c r="F111" s="1" t="s">
        <v>24</v>
      </c>
      <c r="G111" s="1" t="s">
        <v>13</v>
      </c>
      <c r="H111">
        <v>199</v>
      </c>
      <c r="I111">
        <v>6</v>
      </c>
      <c r="J111">
        <v>1194</v>
      </c>
    </row>
    <row r="112" spans="1:10" x14ac:dyDescent="0.25">
      <c r="A112">
        <v>111</v>
      </c>
      <c r="B112" s="2">
        <v>43134</v>
      </c>
      <c r="C112">
        <v>19</v>
      </c>
      <c r="D112" s="1" t="s">
        <v>38</v>
      </c>
      <c r="E112" s="1" t="s">
        <v>29</v>
      </c>
      <c r="F112" s="1" t="s">
        <v>24</v>
      </c>
      <c r="G112" s="1" t="s">
        <v>32</v>
      </c>
      <c r="H112">
        <v>399</v>
      </c>
      <c r="I112">
        <v>6</v>
      </c>
      <c r="J112">
        <v>2394</v>
      </c>
    </row>
    <row r="113" spans="1:10" x14ac:dyDescent="0.25">
      <c r="A113">
        <v>112</v>
      </c>
      <c r="B113" s="2">
        <v>43135</v>
      </c>
      <c r="C113">
        <v>1</v>
      </c>
      <c r="D113" s="1" t="s">
        <v>14</v>
      </c>
      <c r="E113" s="1" t="s">
        <v>15</v>
      </c>
      <c r="F113" s="1" t="s">
        <v>16</v>
      </c>
      <c r="G113" s="1" t="s">
        <v>32</v>
      </c>
      <c r="H113">
        <v>399</v>
      </c>
      <c r="I113">
        <v>2</v>
      </c>
      <c r="J113">
        <v>798</v>
      </c>
    </row>
    <row r="114" spans="1:10" x14ac:dyDescent="0.25">
      <c r="A114">
        <v>113</v>
      </c>
      <c r="B114" s="2">
        <v>43136</v>
      </c>
      <c r="C114">
        <v>17</v>
      </c>
      <c r="D114" s="1" t="s">
        <v>28</v>
      </c>
      <c r="E114" s="1" t="s">
        <v>23</v>
      </c>
      <c r="F114" s="1" t="s">
        <v>24</v>
      </c>
      <c r="G114" s="1" t="s">
        <v>32</v>
      </c>
      <c r="H114">
        <v>399</v>
      </c>
      <c r="I114">
        <v>5</v>
      </c>
      <c r="J114">
        <v>1995</v>
      </c>
    </row>
    <row r="115" spans="1:10" x14ac:dyDescent="0.25">
      <c r="A115">
        <v>114</v>
      </c>
      <c r="B115" s="2">
        <v>43136</v>
      </c>
      <c r="C115">
        <v>9</v>
      </c>
      <c r="D115" s="1" t="s">
        <v>18</v>
      </c>
      <c r="E115" s="1" t="s">
        <v>19</v>
      </c>
      <c r="F115" s="1" t="s">
        <v>20</v>
      </c>
      <c r="G115" s="1" t="s">
        <v>21</v>
      </c>
      <c r="H115">
        <v>159</v>
      </c>
      <c r="I115">
        <v>4</v>
      </c>
      <c r="J115">
        <v>636</v>
      </c>
    </row>
    <row r="116" spans="1:10" x14ac:dyDescent="0.25">
      <c r="A116">
        <v>115</v>
      </c>
      <c r="B116" s="2">
        <v>43136</v>
      </c>
      <c r="C116">
        <v>2</v>
      </c>
      <c r="D116" s="1" t="s">
        <v>45</v>
      </c>
      <c r="E116" s="1" t="s">
        <v>43</v>
      </c>
      <c r="F116" s="1" t="s">
        <v>16</v>
      </c>
      <c r="G116" s="1" t="s">
        <v>26</v>
      </c>
      <c r="H116">
        <v>69</v>
      </c>
      <c r="I116">
        <v>7</v>
      </c>
      <c r="J116">
        <v>483</v>
      </c>
    </row>
    <row r="117" spans="1:10" x14ac:dyDescent="0.25">
      <c r="A117">
        <v>116</v>
      </c>
      <c r="B117" s="2">
        <v>43136</v>
      </c>
      <c r="C117">
        <v>14</v>
      </c>
      <c r="D117" s="1" t="s">
        <v>30</v>
      </c>
      <c r="E117" s="1" t="s">
        <v>11</v>
      </c>
      <c r="F117" s="1" t="s">
        <v>12</v>
      </c>
      <c r="G117" s="1" t="s">
        <v>26</v>
      </c>
      <c r="H117">
        <v>69</v>
      </c>
      <c r="I117">
        <v>7</v>
      </c>
      <c r="J117">
        <v>483</v>
      </c>
    </row>
    <row r="118" spans="1:10" x14ac:dyDescent="0.25">
      <c r="A118">
        <v>117</v>
      </c>
      <c r="B118" s="2">
        <v>43136</v>
      </c>
      <c r="C118">
        <v>14</v>
      </c>
      <c r="D118" s="1" t="s">
        <v>30</v>
      </c>
      <c r="E118" s="1" t="s">
        <v>11</v>
      </c>
      <c r="F118" s="1" t="s">
        <v>12</v>
      </c>
      <c r="G118" s="1" t="s">
        <v>32</v>
      </c>
      <c r="H118">
        <v>399</v>
      </c>
      <c r="I118">
        <v>7</v>
      </c>
      <c r="J118">
        <v>2793</v>
      </c>
    </row>
    <row r="119" spans="1:10" x14ac:dyDescent="0.25">
      <c r="A119">
        <v>118</v>
      </c>
      <c r="B119" s="2">
        <v>43137</v>
      </c>
      <c r="C119">
        <v>5</v>
      </c>
      <c r="D119" s="1" t="s">
        <v>40</v>
      </c>
      <c r="E119" s="1" t="s">
        <v>15</v>
      </c>
      <c r="F119" s="1" t="s">
        <v>16</v>
      </c>
      <c r="G119" s="1" t="s">
        <v>17</v>
      </c>
      <c r="H119">
        <v>289</v>
      </c>
      <c r="I119">
        <v>2</v>
      </c>
      <c r="J119">
        <v>578</v>
      </c>
    </row>
    <row r="120" spans="1:10" x14ac:dyDescent="0.25">
      <c r="A120">
        <v>119</v>
      </c>
      <c r="B120" s="2">
        <v>43137</v>
      </c>
      <c r="C120">
        <v>5</v>
      </c>
      <c r="D120" s="1" t="s">
        <v>40</v>
      </c>
      <c r="E120" s="1" t="s">
        <v>15</v>
      </c>
      <c r="F120" s="1" t="s">
        <v>16</v>
      </c>
      <c r="G120" s="1" t="s">
        <v>13</v>
      </c>
      <c r="H120">
        <v>199</v>
      </c>
      <c r="I120">
        <v>2</v>
      </c>
      <c r="J120">
        <v>398</v>
      </c>
    </row>
    <row r="121" spans="1:10" x14ac:dyDescent="0.25">
      <c r="A121">
        <v>120</v>
      </c>
      <c r="B121" s="2">
        <v>43137</v>
      </c>
      <c r="C121">
        <v>14</v>
      </c>
      <c r="D121" s="1" t="s">
        <v>30</v>
      </c>
      <c r="E121" s="1" t="s">
        <v>11</v>
      </c>
      <c r="F121" s="1" t="s">
        <v>12</v>
      </c>
      <c r="G121" s="1" t="s">
        <v>21</v>
      </c>
      <c r="H121">
        <v>159</v>
      </c>
      <c r="I121">
        <v>3</v>
      </c>
      <c r="J121">
        <v>477</v>
      </c>
    </row>
    <row r="122" spans="1:10" x14ac:dyDescent="0.25">
      <c r="A122">
        <v>121</v>
      </c>
      <c r="B122" s="2">
        <v>43138</v>
      </c>
      <c r="C122">
        <v>15</v>
      </c>
      <c r="D122" s="1" t="s">
        <v>46</v>
      </c>
      <c r="E122" s="1" t="s">
        <v>11</v>
      </c>
      <c r="F122" s="1" t="s">
        <v>12</v>
      </c>
      <c r="G122" s="1" t="s">
        <v>13</v>
      </c>
      <c r="H122">
        <v>199</v>
      </c>
      <c r="I122">
        <v>3</v>
      </c>
      <c r="J122">
        <v>597</v>
      </c>
    </row>
    <row r="123" spans="1:10" x14ac:dyDescent="0.25">
      <c r="A123">
        <v>122</v>
      </c>
      <c r="B123" s="2">
        <v>43139</v>
      </c>
      <c r="C123">
        <v>8</v>
      </c>
      <c r="D123" s="1" t="s">
        <v>34</v>
      </c>
      <c r="E123" s="1" t="s">
        <v>35</v>
      </c>
      <c r="F123" s="1" t="s">
        <v>20</v>
      </c>
      <c r="G123" s="1" t="s">
        <v>26</v>
      </c>
      <c r="H123">
        <v>69</v>
      </c>
      <c r="I123">
        <v>6</v>
      </c>
      <c r="J123">
        <v>414</v>
      </c>
    </row>
    <row r="124" spans="1:10" x14ac:dyDescent="0.25">
      <c r="A124">
        <v>123</v>
      </c>
      <c r="B124" s="2">
        <v>43139</v>
      </c>
      <c r="C124">
        <v>2</v>
      </c>
      <c r="D124" s="1" t="s">
        <v>45</v>
      </c>
      <c r="E124" s="1" t="s">
        <v>15</v>
      </c>
      <c r="F124" s="1" t="s">
        <v>16</v>
      </c>
      <c r="G124" s="1" t="s">
        <v>17</v>
      </c>
      <c r="H124">
        <v>289</v>
      </c>
      <c r="I124">
        <v>6</v>
      </c>
      <c r="J124">
        <v>1734</v>
      </c>
    </row>
    <row r="125" spans="1:10" x14ac:dyDescent="0.25">
      <c r="A125">
        <v>124</v>
      </c>
      <c r="B125" s="2">
        <v>43139</v>
      </c>
      <c r="C125">
        <v>4</v>
      </c>
      <c r="D125" s="1" t="s">
        <v>37</v>
      </c>
      <c r="E125" s="1" t="s">
        <v>43</v>
      </c>
      <c r="F125" s="1" t="s">
        <v>16</v>
      </c>
      <c r="G125" s="1" t="s">
        <v>17</v>
      </c>
      <c r="H125">
        <v>289</v>
      </c>
      <c r="I125">
        <v>7</v>
      </c>
      <c r="J125">
        <v>2023</v>
      </c>
    </row>
    <row r="126" spans="1:10" x14ac:dyDescent="0.25">
      <c r="A126">
        <v>125</v>
      </c>
      <c r="B126" s="2">
        <v>43139</v>
      </c>
      <c r="C126">
        <v>10</v>
      </c>
      <c r="D126" s="1" t="s">
        <v>39</v>
      </c>
      <c r="E126" s="1" t="s">
        <v>19</v>
      </c>
      <c r="F126" s="1" t="s">
        <v>20</v>
      </c>
      <c r="G126" s="1" t="s">
        <v>21</v>
      </c>
      <c r="H126">
        <v>159</v>
      </c>
      <c r="I126">
        <v>0</v>
      </c>
      <c r="J126">
        <v>0</v>
      </c>
    </row>
    <row r="127" spans="1:10" x14ac:dyDescent="0.25">
      <c r="A127">
        <v>126</v>
      </c>
      <c r="B127" s="2">
        <v>43139</v>
      </c>
      <c r="C127">
        <v>18</v>
      </c>
      <c r="D127" s="1" t="s">
        <v>22</v>
      </c>
      <c r="E127" s="1" t="s">
        <v>23</v>
      </c>
      <c r="F127" s="1" t="s">
        <v>24</v>
      </c>
      <c r="G127" s="1" t="s">
        <v>32</v>
      </c>
      <c r="H127">
        <v>399</v>
      </c>
      <c r="I127">
        <v>4</v>
      </c>
      <c r="J127">
        <v>1596</v>
      </c>
    </row>
    <row r="128" spans="1:10" x14ac:dyDescent="0.25">
      <c r="A128">
        <v>127</v>
      </c>
      <c r="B128" s="2">
        <v>43139</v>
      </c>
      <c r="C128">
        <v>8</v>
      </c>
      <c r="D128" s="1" t="s">
        <v>34</v>
      </c>
      <c r="E128" s="1" t="s">
        <v>35</v>
      </c>
      <c r="F128" s="1" t="s">
        <v>20</v>
      </c>
      <c r="G128" s="1" t="s">
        <v>21</v>
      </c>
      <c r="H128">
        <v>159</v>
      </c>
      <c r="I128">
        <v>4</v>
      </c>
      <c r="J128">
        <v>636</v>
      </c>
    </row>
    <row r="129" spans="1:10" x14ac:dyDescent="0.25">
      <c r="A129">
        <v>128</v>
      </c>
      <c r="B129" s="2">
        <v>43140</v>
      </c>
      <c r="C129">
        <v>11</v>
      </c>
      <c r="D129" s="1" t="s">
        <v>10</v>
      </c>
      <c r="E129" s="1" t="s">
        <v>41</v>
      </c>
      <c r="F129" s="1" t="s">
        <v>12</v>
      </c>
      <c r="G129" s="1" t="s">
        <v>13</v>
      </c>
      <c r="H129">
        <v>199</v>
      </c>
      <c r="I129">
        <v>0</v>
      </c>
      <c r="J129">
        <v>0</v>
      </c>
    </row>
    <row r="130" spans="1:10" x14ac:dyDescent="0.25">
      <c r="A130">
        <v>129</v>
      </c>
      <c r="B130" s="2">
        <v>43141</v>
      </c>
      <c r="C130">
        <v>6</v>
      </c>
      <c r="D130" s="1" t="s">
        <v>36</v>
      </c>
      <c r="E130" s="1" t="s">
        <v>19</v>
      </c>
      <c r="F130" s="1" t="s">
        <v>20</v>
      </c>
      <c r="G130" s="1" t="s">
        <v>13</v>
      </c>
      <c r="H130">
        <v>199</v>
      </c>
      <c r="I130">
        <v>8</v>
      </c>
      <c r="J130">
        <v>1592</v>
      </c>
    </row>
    <row r="131" spans="1:10" x14ac:dyDescent="0.25">
      <c r="A131">
        <v>130</v>
      </c>
      <c r="B131" s="2">
        <v>43142</v>
      </c>
      <c r="C131">
        <v>16</v>
      </c>
      <c r="D131" s="1" t="s">
        <v>25</v>
      </c>
      <c r="E131" s="1" t="s">
        <v>23</v>
      </c>
      <c r="F131" s="1" t="s">
        <v>24</v>
      </c>
      <c r="G131" s="1" t="s">
        <v>13</v>
      </c>
      <c r="H131">
        <v>199</v>
      </c>
      <c r="I131">
        <v>0</v>
      </c>
      <c r="J131">
        <v>0</v>
      </c>
    </row>
    <row r="132" spans="1:10" x14ac:dyDescent="0.25">
      <c r="A132">
        <v>131</v>
      </c>
      <c r="B132" s="2">
        <v>43142</v>
      </c>
      <c r="C132">
        <v>10</v>
      </c>
      <c r="D132" s="1" t="s">
        <v>39</v>
      </c>
      <c r="E132" s="1" t="s">
        <v>19</v>
      </c>
      <c r="F132" s="1" t="s">
        <v>20</v>
      </c>
      <c r="G132" s="1" t="s">
        <v>32</v>
      </c>
      <c r="H132">
        <v>399</v>
      </c>
      <c r="I132">
        <v>3</v>
      </c>
      <c r="J132">
        <v>1197</v>
      </c>
    </row>
    <row r="133" spans="1:10" x14ac:dyDescent="0.25">
      <c r="A133">
        <v>132</v>
      </c>
      <c r="B133" s="2">
        <v>43142</v>
      </c>
      <c r="C133">
        <v>7</v>
      </c>
      <c r="D133" s="1" t="s">
        <v>44</v>
      </c>
      <c r="E133" s="1" t="s">
        <v>19</v>
      </c>
      <c r="F133" s="1" t="s">
        <v>20</v>
      </c>
      <c r="G133" s="1" t="s">
        <v>21</v>
      </c>
      <c r="H133">
        <v>159</v>
      </c>
      <c r="I133">
        <v>9</v>
      </c>
      <c r="J133">
        <v>1431</v>
      </c>
    </row>
    <row r="134" spans="1:10" x14ac:dyDescent="0.25">
      <c r="A134">
        <v>133</v>
      </c>
      <c r="B134" s="2">
        <v>43142</v>
      </c>
      <c r="C134">
        <v>12</v>
      </c>
      <c r="D134" s="1" t="s">
        <v>42</v>
      </c>
      <c r="E134" s="1" t="s">
        <v>11</v>
      </c>
      <c r="F134" s="1" t="s">
        <v>12</v>
      </c>
      <c r="G134" s="1" t="s">
        <v>32</v>
      </c>
      <c r="H134">
        <v>399</v>
      </c>
      <c r="I134">
        <v>9</v>
      </c>
      <c r="J134">
        <v>3591</v>
      </c>
    </row>
    <row r="135" spans="1:10" x14ac:dyDescent="0.25">
      <c r="A135">
        <v>134</v>
      </c>
      <c r="B135" s="2">
        <v>43143</v>
      </c>
      <c r="C135">
        <v>13</v>
      </c>
      <c r="D135" s="1" t="s">
        <v>27</v>
      </c>
      <c r="E135" s="1" t="s">
        <v>11</v>
      </c>
      <c r="F135" s="1" t="s">
        <v>12</v>
      </c>
      <c r="G135" s="1" t="s">
        <v>21</v>
      </c>
      <c r="H135">
        <v>159</v>
      </c>
      <c r="I135">
        <v>7</v>
      </c>
      <c r="J135">
        <v>1113</v>
      </c>
    </row>
    <row r="136" spans="1:10" x14ac:dyDescent="0.25">
      <c r="A136">
        <v>135</v>
      </c>
      <c r="B136" s="2">
        <v>43143</v>
      </c>
      <c r="C136">
        <v>16</v>
      </c>
      <c r="D136" s="1" t="s">
        <v>25</v>
      </c>
      <c r="E136" s="1" t="s">
        <v>23</v>
      </c>
      <c r="F136" s="1" t="s">
        <v>24</v>
      </c>
      <c r="G136" s="1" t="s">
        <v>26</v>
      </c>
      <c r="H136">
        <v>69</v>
      </c>
      <c r="I136">
        <v>5</v>
      </c>
      <c r="J136">
        <v>345</v>
      </c>
    </row>
    <row r="137" spans="1:10" x14ac:dyDescent="0.25">
      <c r="A137">
        <v>136</v>
      </c>
      <c r="B137" s="2">
        <v>43144</v>
      </c>
      <c r="C137">
        <v>6</v>
      </c>
      <c r="D137" s="1" t="s">
        <v>36</v>
      </c>
      <c r="E137" s="1" t="s">
        <v>35</v>
      </c>
      <c r="F137" s="1" t="s">
        <v>20</v>
      </c>
      <c r="G137" s="1" t="s">
        <v>13</v>
      </c>
      <c r="H137">
        <v>199</v>
      </c>
      <c r="I137">
        <v>9</v>
      </c>
      <c r="J137">
        <v>1791</v>
      </c>
    </row>
    <row r="138" spans="1:10" x14ac:dyDescent="0.25">
      <c r="A138">
        <v>137</v>
      </c>
      <c r="B138" s="2">
        <v>43144</v>
      </c>
      <c r="C138">
        <v>12</v>
      </c>
      <c r="D138" s="1" t="s">
        <v>42</v>
      </c>
      <c r="E138" s="1" t="s">
        <v>41</v>
      </c>
      <c r="F138" s="1" t="s">
        <v>12</v>
      </c>
      <c r="G138" s="1" t="s">
        <v>32</v>
      </c>
      <c r="H138">
        <v>399</v>
      </c>
      <c r="I138">
        <v>3</v>
      </c>
      <c r="J138">
        <v>1197</v>
      </c>
    </row>
    <row r="139" spans="1:10" x14ac:dyDescent="0.25">
      <c r="A139">
        <v>138</v>
      </c>
      <c r="B139" s="2">
        <v>43144</v>
      </c>
      <c r="C139">
        <v>14</v>
      </c>
      <c r="D139" s="1" t="s">
        <v>30</v>
      </c>
      <c r="E139" s="1" t="s">
        <v>41</v>
      </c>
      <c r="F139" s="1" t="s">
        <v>12</v>
      </c>
      <c r="G139" s="1" t="s">
        <v>32</v>
      </c>
      <c r="H139">
        <v>399</v>
      </c>
      <c r="I139">
        <v>3</v>
      </c>
      <c r="J139">
        <v>1197</v>
      </c>
    </row>
    <row r="140" spans="1:10" x14ac:dyDescent="0.25">
      <c r="A140">
        <v>139</v>
      </c>
      <c r="B140" s="2">
        <v>43144</v>
      </c>
      <c r="C140">
        <v>13</v>
      </c>
      <c r="D140" s="1" t="s">
        <v>27</v>
      </c>
      <c r="E140" s="1" t="s">
        <v>11</v>
      </c>
      <c r="F140" s="1" t="s">
        <v>12</v>
      </c>
      <c r="G140" s="1" t="s">
        <v>26</v>
      </c>
      <c r="H140">
        <v>69</v>
      </c>
      <c r="I140">
        <v>4</v>
      </c>
      <c r="J140">
        <v>276</v>
      </c>
    </row>
    <row r="141" spans="1:10" x14ac:dyDescent="0.25">
      <c r="A141">
        <v>140</v>
      </c>
      <c r="B141" s="2">
        <v>43144</v>
      </c>
      <c r="C141">
        <v>15</v>
      </c>
      <c r="D141" s="1" t="s">
        <v>46</v>
      </c>
      <c r="E141" s="1" t="s">
        <v>41</v>
      </c>
      <c r="F141" s="1" t="s">
        <v>12</v>
      </c>
      <c r="G141" s="1" t="s">
        <v>32</v>
      </c>
      <c r="H141">
        <v>399</v>
      </c>
      <c r="I141">
        <v>8</v>
      </c>
      <c r="J141">
        <v>3192</v>
      </c>
    </row>
    <row r="142" spans="1:10" x14ac:dyDescent="0.25">
      <c r="A142">
        <v>141</v>
      </c>
      <c r="B142" s="2">
        <v>43144</v>
      </c>
      <c r="C142">
        <v>10</v>
      </c>
      <c r="D142" s="1" t="s">
        <v>39</v>
      </c>
      <c r="E142" s="1" t="s">
        <v>19</v>
      </c>
      <c r="F142" s="1" t="s">
        <v>20</v>
      </c>
      <c r="G142" s="1" t="s">
        <v>21</v>
      </c>
      <c r="H142">
        <v>159</v>
      </c>
      <c r="I142">
        <v>8</v>
      </c>
      <c r="J142">
        <v>1272</v>
      </c>
    </row>
    <row r="143" spans="1:10" x14ac:dyDescent="0.25">
      <c r="A143">
        <v>142</v>
      </c>
      <c r="B143" s="2">
        <v>43144</v>
      </c>
      <c r="C143">
        <v>10</v>
      </c>
      <c r="D143" s="1" t="s">
        <v>39</v>
      </c>
      <c r="E143" s="1" t="s">
        <v>19</v>
      </c>
      <c r="F143" s="1" t="s">
        <v>20</v>
      </c>
      <c r="G143" s="1" t="s">
        <v>17</v>
      </c>
      <c r="H143">
        <v>289</v>
      </c>
      <c r="I143">
        <v>4</v>
      </c>
      <c r="J143">
        <v>1156</v>
      </c>
    </row>
    <row r="144" spans="1:10" x14ac:dyDescent="0.25">
      <c r="A144">
        <v>143</v>
      </c>
      <c r="B144" s="2">
        <v>43144</v>
      </c>
      <c r="C144">
        <v>7</v>
      </c>
      <c r="D144" s="1" t="s">
        <v>44</v>
      </c>
      <c r="E144" s="1" t="s">
        <v>35</v>
      </c>
      <c r="F144" s="1" t="s">
        <v>20</v>
      </c>
      <c r="G144" s="1" t="s">
        <v>17</v>
      </c>
      <c r="H144">
        <v>289</v>
      </c>
      <c r="I144">
        <v>5</v>
      </c>
      <c r="J144">
        <v>1445</v>
      </c>
    </row>
    <row r="145" spans="1:10" x14ac:dyDescent="0.25">
      <c r="A145">
        <v>144</v>
      </c>
      <c r="B145" s="2">
        <v>43144</v>
      </c>
      <c r="C145">
        <v>13</v>
      </c>
      <c r="D145" s="1" t="s">
        <v>27</v>
      </c>
      <c r="E145" s="1" t="s">
        <v>41</v>
      </c>
      <c r="F145" s="1" t="s">
        <v>12</v>
      </c>
      <c r="G145" s="1" t="s">
        <v>21</v>
      </c>
      <c r="H145">
        <v>159</v>
      </c>
      <c r="I145">
        <v>2</v>
      </c>
      <c r="J145">
        <v>318</v>
      </c>
    </row>
    <row r="146" spans="1:10" x14ac:dyDescent="0.25">
      <c r="A146">
        <v>145</v>
      </c>
      <c r="B146" s="2">
        <v>43144</v>
      </c>
      <c r="C146">
        <v>6</v>
      </c>
      <c r="D146" s="1" t="s">
        <v>36</v>
      </c>
      <c r="E146" s="1" t="s">
        <v>19</v>
      </c>
      <c r="F146" s="1" t="s">
        <v>20</v>
      </c>
      <c r="G146" s="1" t="s">
        <v>13</v>
      </c>
      <c r="H146">
        <v>199</v>
      </c>
      <c r="I146">
        <v>6</v>
      </c>
      <c r="J146">
        <v>1194</v>
      </c>
    </row>
    <row r="147" spans="1:10" x14ac:dyDescent="0.25">
      <c r="A147">
        <v>146</v>
      </c>
      <c r="B147" s="2">
        <v>43144</v>
      </c>
      <c r="C147">
        <v>8</v>
      </c>
      <c r="D147" s="1" t="s">
        <v>34</v>
      </c>
      <c r="E147" s="1" t="s">
        <v>35</v>
      </c>
      <c r="F147" s="1" t="s">
        <v>20</v>
      </c>
      <c r="G147" s="1" t="s">
        <v>13</v>
      </c>
      <c r="H147">
        <v>199</v>
      </c>
      <c r="I147">
        <v>2</v>
      </c>
      <c r="J147">
        <v>398</v>
      </c>
    </row>
    <row r="148" spans="1:10" x14ac:dyDescent="0.25">
      <c r="A148">
        <v>147</v>
      </c>
      <c r="B148" s="2">
        <v>43144</v>
      </c>
      <c r="C148">
        <v>13</v>
      </c>
      <c r="D148" s="1" t="s">
        <v>27</v>
      </c>
      <c r="E148" s="1" t="s">
        <v>41</v>
      </c>
      <c r="F148" s="1" t="s">
        <v>12</v>
      </c>
      <c r="G148" s="1" t="s">
        <v>21</v>
      </c>
      <c r="H148">
        <v>159</v>
      </c>
      <c r="I148">
        <v>5</v>
      </c>
      <c r="J148">
        <v>795</v>
      </c>
    </row>
    <row r="149" spans="1:10" x14ac:dyDescent="0.25">
      <c r="A149">
        <v>148</v>
      </c>
      <c r="B149" s="2">
        <v>43144</v>
      </c>
      <c r="C149">
        <v>2</v>
      </c>
      <c r="D149" s="1" t="s">
        <v>45</v>
      </c>
      <c r="E149" s="1" t="s">
        <v>43</v>
      </c>
      <c r="F149" s="1" t="s">
        <v>16</v>
      </c>
      <c r="G149" s="1" t="s">
        <v>32</v>
      </c>
      <c r="H149">
        <v>399</v>
      </c>
      <c r="I149">
        <v>2</v>
      </c>
      <c r="J149">
        <v>798</v>
      </c>
    </row>
    <row r="150" spans="1:10" x14ac:dyDescent="0.25">
      <c r="A150">
        <v>149</v>
      </c>
      <c r="B150" s="2">
        <v>43144</v>
      </c>
      <c r="C150">
        <v>12</v>
      </c>
      <c r="D150" s="1" t="s">
        <v>42</v>
      </c>
      <c r="E150" s="1" t="s">
        <v>41</v>
      </c>
      <c r="F150" s="1" t="s">
        <v>12</v>
      </c>
      <c r="G150" s="1" t="s">
        <v>17</v>
      </c>
      <c r="H150">
        <v>289</v>
      </c>
      <c r="I150">
        <v>8</v>
      </c>
      <c r="J150">
        <v>2312</v>
      </c>
    </row>
    <row r="151" spans="1:10" x14ac:dyDescent="0.25">
      <c r="A151">
        <v>150</v>
      </c>
      <c r="B151" s="2">
        <v>43144</v>
      </c>
      <c r="C151">
        <v>8</v>
      </c>
      <c r="D151" s="1" t="s">
        <v>34</v>
      </c>
      <c r="E151" s="1" t="s">
        <v>35</v>
      </c>
      <c r="F151" s="1" t="s">
        <v>20</v>
      </c>
      <c r="G151" s="1" t="s">
        <v>13</v>
      </c>
      <c r="H151">
        <v>199</v>
      </c>
      <c r="I151">
        <v>1</v>
      </c>
      <c r="J151">
        <v>199</v>
      </c>
    </row>
    <row r="152" spans="1:10" x14ac:dyDescent="0.25">
      <c r="A152">
        <v>151</v>
      </c>
      <c r="B152" s="2">
        <v>43144</v>
      </c>
      <c r="C152">
        <v>20</v>
      </c>
      <c r="D152" s="1" t="s">
        <v>31</v>
      </c>
      <c r="E152" s="1" t="s">
        <v>23</v>
      </c>
      <c r="F152" s="1" t="s">
        <v>24</v>
      </c>
      <c r="G152" s="1" t="s">
        <v>13</v>
      </c>
      <c r="H152">
        <v>199</v>
      </c>
      <c r="I152">
        <v>8</v>
      </c>
      <c r="J152">
        <v>1592</v>
      </c>
    </row>
    <row r="153" spans="1:10" x14ac:dyDescent="0.25">
      <c r="A153">
        <v>152</v>
      </c>
      <c r="B153" s="2">
        <v>43144</v>
      </c>
      <c r="C153">
        <v>12</v>
      </c>
      <c r="D153" s="1" t="s">
        <v>42</v>
      </c>
      <c r="E153" s="1" t="s">
        <v>11</v>
      </c>
      <c r="F153" s="1" t="s">
        <v>12</v>
      </c>
      <c r="G153" s="1" t="s">
        <v>21</v>
      </c>
      <c r="H153">
        <v>159</v>
      </c>
      <c r="I153">
        <v>6</v>
      </c>
      <c r="J153">
        <v>954</v>
      </c>
    </row>
    <row r="154" spans="1:10" x14ac:dyDescent="0.25">
      <c r="A154">
        <v>153</v>
      </c>
      <c r="B154" s="2">
        <v>43144</v>
      </c>
      <c r="C154">
        <v>2</v>
      </c>
      <c r="D154" s="1" t="s">
        <v>45</v>
      </c>
      <c r="E154" s="1" t="s">
        <v>43</v>
      </c>
      <c r="F154" s="1" t="s">
        <v>16</v>
      </c>
      <c r="G154" s="1" t="s">
        <v>17</v>
      </c>
      <c r="H154">
        <v>289</v>
      </c>
      <c r="I154">
        <v>2</v>
      </c>
      <c r="J154">
        <v>578</v>
      </c>
    </row>
    <row r="155" spans="1:10" x14ac:dyDescent="0.25">
      <c r="A155">
        <v>154</v>
      </c>
      <c r="B155" s="2">
        <v>43145</v>
      </c>
      <c r="C155">
        <v>8</v>
      </c>
      <c r="D155" s="1" t="s">
        <v>34</v>
      </c>
      <c r="E155" s="1" t="s">
        <v>19</v>
      </c>
      <c r="F155" s="1" t="s">
        <v>20</v>
      </c>
      <c r="G155" s="1" t="s">
        <v>26</v>
      </c>
      <c r="H155">
        <v>69</v>
      </c>
      <c r="I155">
        <v>8</v>
      </c>
      <c r="J155">
        <v>552</v>
      </c>
    </row>
    <row r="156" spans="1:10" x14ac:dyDescent="0.25">
      <c r="A156">
        <v>155</v>
      </c>
      <c r="B156" s="2">
        <v>43146</v>
      </c>
      <c r="C156">
        <v>15</v>
      </c>
      <c r="D156" s="1" t="s">
        <v>46</v>
      </c>
      <c r="E156" s="1" t="s">
        <v>11</v>
      </c>
      <c r="F156" s="1" t="s">
        <v>12</v>
      </c>
      <c r="G156" s="1" t="s">
        <v>13</v>
      </c>
      <c r="H156">
        <v>199</v>
      </c>
      <c r="I156">
        <v>9</v>
      </c>
      <c r="J156">
        <v>1791</v>
      </c>
    </row>
    <row r="157" spans="1:10" x14ac:dyDescent="0.25">
      <c r="A157">
        <v>156</v>
      </c>
      <c r="B157" s="2">
        <v>43146</v>
      </c>
      <c r="C157">
        <v>18</v>
      </c>
      <c r="D157" s="1" t="s">
        <v>22</v>
      </c>
      <c r="E157" s="1" t="s">
        <v>29</v>
      </c>
      <c r="F157" s="1" t="s">
        <v>24</v>
      </c>
      <c r="G157" s="1" t="s">
        <v>21</v>
      </c>
      <c r="H157">
        <v>159</v>
      </c>
      <c r="I157">
        <v>4</v>
      </c>
      <c r="J157">
        <v>636</v>
      </c>
    </row>
    <row r="158" spans="1:10" x14ac:dyDescent="0.25">
      <c r="A158">
        <v>157</v>
      </c>
      <c r="B158" s="2">
        <v>43147</v>
      </c>
      <c r="C158">
        <v>13</v>
      </c>
      <c r="D158" s="1" t="s">
        <v>27</v>
      </c>
      <c r="E158" s="1" t="s">
        <v>11</v>
      </c>
      <c r="F158" s="1" t="s">
        <v>12</v>
      </c>
      <c r="G158" s="1" t="s">
        <v>17</v>
      </c>
      <c r="H158">
        <v>289</v>
      </c>
      <c r="I158">
        <v>3</v>
      </c>
      <c r="J158">
        <v>867</v>
      </c>
    </row>
    <row r="159" spans="1:10" x14ac:dyDescent="0.25">
      <c r="A159">
        <v>158</v>
      </c>
      <c r="B159" s="2">
        <v>43147</v>
      </c>
      <c r="C159">
        <v>11</v>
      </c>
      <c r="D159" s="1" t="s">
        <v>10</v>
      </c>
      <c r="E159" s="1" t="s">
        <v>41</v>
      </c>
      <c r="F159" s="1" t="s">
        <v>12</v>
      </c>
      <c r="G159" s="1" t="s">
        <v>13</v>
      </c>
      <c r="H159">
        <v>199</v>
      </c>
      <c r="I159">
        <v>4</v>
      </c>
      <c r="J159">
        <v>796</v>
      </c>
    </row>
    <row r="160" spans="1:10" x14ac:dyDescent="0.25">
      <c r="A160">
        <v>159</v>
      </c>
      <c r="B160" s="2">
        <v>43147</v>
      </c>
      <c r="C160">
        <v>20</v>
      </c>
      <c r="D160" s="1" t="s">
        <v>31</v>
      </c>
      <c r="E160" s="1" t="s">
        <v>23</v>
      </c>
      <c r="F160" s="1" t="s">
        <v>24</v>
      </c>
      <c r="G160" s="1" t="s">
        <v>21</v>
      </c>
      <c r="H160">
        <v>159</v>
      </c>
      <c r="I160">
        <v>6</v>
      </c>
      <c r="J160">
        <v>954</v>
      </c>
    </row>
    <row r="161" spans="1:10" x14ac:dyDescent="0.25">
      <c r="A161">
        <v>160</v>
      </c>
      <c r="B161" s="2">
        <v>43147</v>
      </c>
      <c r="C161">
        <v>1</v>
      </c>
      <c r="D161" s="1" t="s">
        <v>14</v>
      </c>
      <c r="E161" s="1" t="s">
        <v>15</v>
      </c>
      <c r="F161" s="1" t="s">
        <v>16</v>
      </c>
      <c r="G161" s="1" t="s">
        <v>13</v>
      </c>
      <c r="H161">
        <v>199</v>
      </c>
      <c r="I161">
        <v>9</v>
      </c>
      <c r="J161">
        <v>1791</v>
      </c>
    </row>
    <row r="162" spans="1:10" x14ac:dyDescent="0.25">
      <c r="A162">
        <v>161</v>
      </c>
      <c r="B162" s="2">
        <v>43147</v>
      </c>
      <c r="C162">
        <v>8</v>
      </c>
      <c r="D162" s="1" t="s">
        <v>34</v>
      </c>
      <c r="E162" s="1" t="s">
        <v>35</v>
      </c>
      <c r="F162" s="1" t="s">
        <v>20</v>
      </c>
      <c r="G162" s="1" t="s">
        <v>13</v>
      </c>
      <c r="H162">
        <v>199</v>
      </c>
      <c r="I162">
        <v>2</v>
      </c>
      <c r="J162">
        <v>398</v>
      </c>
    </row>
    <row r="163" spans="1:10" x14ac:dyDescent="0.25">
      <c r="A163">
        <v>162</v>
      </c>
      <c r="B163" s="2">
        <v>43147</v>
      </c>
      <c r="C163">
        <v>15</v>
      </c>
      <c r="D163" s="1" t="s">
        <v>46</v>
      </c>
      <c r="E163" s="1" t="s">
        <v>41</v>
      </c>
      <c r="F163" s="1" t="s">
        <v>12</v>
      </c>
      <c r="G163" s="1" t="s">
        <v>26</v>
      </c>
      <c r="H163">
        <v>69</v>
      </c>
      <c r="I163">
        <v>5</v>
      </c>
      <c r="J163">
        <v>345</v>
      </c>
    </row>
    <row r="164" spans="1:10" x14ac:dyDescent="0.25">
      <c r="A164">
        <v>163</v>
      </c>
      <c r="B164" s="2">
        <v>43147</v>
      </c>
      <c r="C164">
        <v>19</v>
      </c>
      <c r="D164" s="1" t="s">
        <v>38</v>
      </c>
      <c r="E164" s="1" t="s">
        <v>23</v>
      </c>
      <c r="F164" s="1" t="s">
        <v>24</v>
      </c>
      <c r="G164" s="1" t="s">
        <v>17</v>
      </c>
      <c r="H164">
        <v>289</v>
      </c>
      <c r="I164">
        <v>7</v>
      </c>
      <c r="J164">
        <v>2023</v>
      </c>
    </row>
    <row r="165" spans="1:10" x14ac:dyDescent="0.25">
      <c r="A165">
        <v>164</v>
      </c>
      <c r="B165" s="2">
        <v>43148</v>
      </c>
      <c r="C165">
        <v>13</v>
      </c>
      <c r="D165" s="1" t="s">
        <v>27</v>
      </c>
      <c r="E165" s="1" t="s">
        <v>41</v>
      </c>
      <c r="F165" s="1" t="s">
        <v>12</v>
      </c>
      <c r="G165" s="1" t="s">
        <v>26</v>
      </c>
      <c r="H165">
        <v>69</v>
      </c>
      <c r="I165">
        <v>1</v>
      </c>
      <c r="J165">
        <v>69</v>
      </c>
    </row>
    <row r="166" spans="1:10" x14ac:dyDescent="0.25">
      <c r="A166">
        <v>165</v>
      </c>
      <c r="B166" s="2">
        <v>43148</v>
      </c>
      <c r="C166">
        <v>4</v>
      </c>
      <c r="D166" s="1" t="s">
        <v>37</v>
      </c>
      <c r="E166" s="1" t="s">
        <v>15</v>
      </c>
      <c r="F166" s="1" t="s">
        <v>16</v>
      </c>
      <c r="G166" s="1" t="s">
        <v>21</v>
      </c>
      <c r="H166">
        <v>159</v>
      </c>
      <c r="I166">
        <v>1</v>
      </c>
      <c r="J166">
        <v>159</v>
      </c>
    </row>
    <row r="167" spans="1:10" x14ac:dyDescent="0.25">
      <c r="A167">
        <v>166</v>
      </c>
      <c r="B167" s="2">
        <v>43149</v>
      </c>
      <c r="C167">
        <v>15</v>
      </c>
      <c r="D167" s="1" t="s">
        <v>46</v>
      </c>
      <c r="E167" s="1" t="s">
        <v>11</v>
      </c>
      <c r="F167" s="1" t="s">
        <v>12</v>
      </c>
      <c r="G167" s="1" t="s">
        <v>26</v>
      </c>
      <c r="H167">
        <v>69</v>
      </c>
      <c r="I167">
        <v>0</v>
      </c>
      <c r="J167">
        <v>0</v>
      </c>
    </row>
    <row r="168" spans="1:10" x14ac:dyDescent="0.25">
      <c r="A168">
        <v>167</v>
      </c>
      <c r="B168" s="2">
        <v>43149</v>
      </c>
      <c r="C168">
        <v>12</v>
      </c>
      <c r="D168" s="1" t="s">
        <v>42</v>
      </c>
      <c r="E168" s="1" t="s">
        <v>41</v>
      </c>
      <c r="F168" s="1" t="s">
        <v>12</v>
      </c>
      <c r="G168" s="1" t="s">
        <v>26</v>
      </c>
      <c r="H168">
        <v>69</v>
      </c>
      <c r="I168">
        <v>1</v>
      </c>
      <c r="J168">
        <v>69</v>
      </c>
    </row>
    <row r="169" spans="1:10" x14ac:dyDescent="0.25">
      <c r="A169">
        <v>168</v>
      </c>
      <c r="B169" s="2">
        <v>43149</v>
      </c>
      <c r="C169">
        <v>7</v>
      </c>
      <c r="D169" s="1" t="s">
        <v>44</v>
      </c>
      <c r="E169" s="1" t="s">
        <v>19</v>
      </c>
      <c r="F169" s="1" t="s">
        <v>20</v>
      </c>
      <c r="G169" s="1" t="s">
        <v>21</v>
      </c>
      <c r="H169">
        <v>159</v>
      </c>
      <c r="I169">
        <v>2</v>
      </c>
      <c r="J169">
        <v>318</v>
      </c>
    </row>
    <row r="170" spans="1:10" x14ac:dyDescent="0.25">
      <c r="A170">
        <v>169</v>
      </c>
      <c r="B170" s="2">
        <v>43149</v>
      </c>
      <c r="C170">
        <v>10</v>
      </c>
      <c r="D170" s="1" t="s">
        <v>39</v>
      </c>
      <c r="E170" s="1" t="s">
        <v>35</v>
      </c>
      <c r="F170" s="1" t="s">
        <v>20</v>
      </c>
      <c r="G170" s="1" t="s">
        <v>26</v>
      </c>
      <c r="H170">
        <v>69</v>
      </c>
      <c r="I170">
        <v>4</v>
      </c>
      <c r="J170">
        <v>276</v>
      </c>
    </row>
    <row r="171" spans="1:10" x14ac:dyDescent="0.25">
      <c r="A171">
        <v>170</v>
      </c>
      <c r="B171" s="2">
        <v>43149</v>
      </c>
      <c r="C171">
        <v>6</v>
      </c>
      <c r="D171" s="1" t="s">
        <v>36</v>
      </c>
      <c r="E171" s="1" t="s">
        <v>35</v>
      </c>
      <c r="F171" s="1" t="s">
        <v>20</v>
      </c>
      <c r="G171" s="1" t="s">
        <v>26</v>
      </c>
      <c r="H171">
        <v>69</v>
      </c>
      <c r="I171">
        <v>3</v>
      </c>
      <c r="J171">
        <v>207</v>
      </c>
    </row>
    <row r="172" spans="1:10" x14ac:dyDescent="0.25">
      <c r="A172">
        <v>171</v>
      </c>
      <c r="B172" s="2">
        <v>43150</v>
      </c>
      <c r="C172">
        <v>8</v>
      </c>
      <c r="D172" s="1" t="s">
        <v>34</v>
      </c>
      <c r="E172" s="1" t="s">
        <v>35</v>
      </c>
      <c r="F172" s="1" t="s">
        <v>20</v>
      </c>
      <c r="G172" s="1" t="s">
        <v>32</v>
      </c>
      <c r="H172">
        <v>399</v>
      </c>
      <c r="I172">
        <v>6</v>
      </c>
      <c r="J172">
        <v>2394</v>
      </c>
    </row>
    <row r="173" spans="1:10" x14ac:dyDescent="0.25">
      <c r="A173">
        <v>172</v>
      </c>
      <c r="B173" s="2">
        <v>43150</v>
      </c>
      <c r="C173">
        <v>11</v>
      </c>
      <c r="D173" s="1" t="s">
        <v>10</v>
      </c>
      <c r="E173" s="1" t="s">
        <v>11</v>
      </c>
      <c r="F173" s="1" t="s">
        <v>12</v>
      </c>
      <c r="G173" s="1" t="s">
        <v>26</v>
      </c>
      <c r="H173">
        <v>69</v>
      </c>
      <c r="I173">
        <v>5</v>
      </c>
      <c r="J173">
        <v>345</v>
      </c>
    </row>
    <row r="174" spans="1:10" x14ac:dyDescent="0.25">
      <c r="A174">
        <v>173</v>
      </c>
      <c r="B174" s="2">
        <v>43150</v>
      </c>
      <c r="C174">
        <v>2</v>
      </c>
      <c r="D174" s="1" t="s">
        <v>45</v>
      </c>
      <c r="E174" s="1" t="s">
        <v>43</v>
      </c>
      <c r="F174" s="1" t="s">
        <v>16</v>
      </c>
      <c r="G174" s="1" t="s">
        <v>32</v>
      </c>
      <c r="H174">
        <v>399</v>
      </c>
      <c r="I174">
        <v>1</v>
      </c>
      <c r="J174">
        <v>399</v>
      </c>
    </row>
    <row r="175" spans="1:10" x14ac:dyDescent="0.25">
      <c r="A175">
        <v>174</v>
      </c>
      <c r="B175" s="2">
        <v>43150</v>
      </c>
      <c r="C175">
        <v>6</v>
      </c>
      <c r="D175" s="1" t="s">
        <v>36</v>
      </c>
      <c r="E175" s="1" t="s">
        <v>35</v>
      </c>
      <c r="F175" s="1" t="s">
        <v>20</v>
      </c>
      <c r="G175" s="1" t="s">
        <v>32</v>
      </c>
      <c r="H175">
        <v>399</v>
      </c>
      <c r="I175">
        <v>6</v>
      </c>
      <c r="J175">
        <v>2394</v>
      </c>
    </row>
    <row r="176" spans="1:10" x14ac:dyDescent="0.25">
      <c r="A176">
        <v>175</v>
      </c>
      <c r="B176" s="2">
        <v>43151</v>
      </c>
      <c r="C176">
        <v>11</v>
      </c>
      <c r="D176" s="1" t="s">
        <v>10</v>
      </c>
      <c r="E176" s="1" t="s">
        <v>11</v>
      </c>
      <c r="F176" s="1" t="s">
        <v>12</v>
      </c>
      <c r="G176" s="1" t="s">
        <v>17</v>
      </c>
      <c r="H176">
        <v>289</v>
      </c>
      <c r="I176">
        <v>5</v>
      </c>
      <c r="J176">
        <v>1445</v>
      </c>
    </row>
    <row r="177" spans="1:10" x14ac:dyDescent="0.25">
      <c r="A177">
        <v>176</v>
      </c>
      <c r="B177" s="2">
        <v>43152</v>
      </c>
      <c r="C177">
        <v>13</v>
      </c>
      <c r="D177" s="1" t="s">
        <v>27</v>
      </c>
      <c r="E177" s="1" t="s">
        <v>41</v>
      </c>
      <c r="F177" s="1" t="s">
        <v>12</v>
      </c>
      <c r="G177" s="1" t="s">
        <v>13</v>
      </c>
      <c r="H177">
        <v>199</v>
      </c>
      <c r="I177">
        <v>6</v>
      </c>
      <c r="J177">
        <v>1194</v>
      </c>
    </row>
    <row r="178" spans="1:10" x14ac:dyDescent="0.25">
      <c r="A178">
        <v>177</v>
      </c>
      <c r="B178" s="2">
        <v>43152</v>
      </c>
      <c r="C178">
        <v>8</v>
      </c>
      <c r="D178" s="1" t="s">
        <v>34</v>
      </c>
      <c r="E178" s="1" t="s">
        <v>35</v>
      </c>
      <c r="F178" s="1" t="s">
        <v>20</v>
      </c>
      <c r="G178" s="1" t="s">
        <v>17</v>
      </c>
      <c r="H178">
        <v>289</v>
      </c>
      <c r="I178">
        <v>1</v>
      </c>
      <c r="J178">
        <v>289</v>
      </c>
    </row>
    <row r="179" spans="1:10" x14ac:dyDescent="0.25">
      <c r="A179">
        <v>178</v>
      </c>
      <c r="B179" s="2">
        <v>43152</v>
      </c>
      <c r="C179">
        <v>13</v>
      </c>
      <c r="D179" s="1" t="s">
        <v>27</v>
      </c>
      <c r="E179" s="1" t="s">
        <v>11</v>
      </c>
      <c r="F179" s="1" t="s">
        <v>12</v>
      </c>
      <c r="G179" s="1" t="s">
        <v>21</v>
      </c>
      <c r="H179">
        <v>159</v>
      </c>
      <c r="I179">
        <v>1</v>
      </c>
      <c r="J179">
        <v>159</v>
      </c>
    </row>
    <row r="180" spans="1:10" x14ac:dyDescent="0.25">
      <c r="A180">
        <v>179</v>
      </c>
      <c r="B180" s="2">
        <v>43152</v>
      </c>
      <c r="C180">
        <v>1</v>
      </c>
      <c r="D180" s="1" t="s">
        <v>14</v>
      </c>
      <c r="E180" s="1" t="s">
        <v>15</v>
      </c>
      <c r="F180" s="1" t="s">
        <v>16</v>
      </c>
      <c r="G180" s="1" t="s">
        <v>17</v>
      </c>
      <c r="H180">
        <v>289</v>
      </c>
      <c r="I180">
        <v>2</v>
      </c>
      <c r="J180">
        <v>578</v>
      </c>
    </row>
    <row r="181" spans="1:10" x14ac:dyDescent="0.25">
      <c r="A181">
        <v>180</v>
      </c>
      <c r="B181" s="2">
        <v>43152</v>
      </c>
      <c r="C181">
        <v>20</v>
      </c>
      <c r="D181" s="1" t="s">
        <v>31</v>
      </c>
      <c r="E181" s="1" t="s">
        <v>23</v>
      </c>
      <c r="F181" s="1" t="s">
        <v>24</v>
      </c>
      <c r="G181" s="1" t="s">
        <v>26</v>
      </c>
      <c r="H181">
        <v>69</v>
      </c>
      <c r="I181">
        <v>3</v>
      </c>
      <c r="J181">
        <v>207</v>
      </c>
    </row>
    <row r="182" spans="1:10" x14ac:dyDescent="0.25">
      <c r="A182">
        <v>181</v>
      </c>
      <c r="B182" s="2">
        <v>43152</v>
      </c>
      <c r="C182">
        <v>20</v>
      </c>
      <c r="D182" s="1" t="s">
        <v>31</v>
      </c>
      <c r="E182" s="1" t="s">
        <v>29</v>
      </c>
      <c r="F182" s="1" t="s">
        <v>24</v>
      </c>
      <c r="G182" s="1" t="s">
        <v>26</v>
      </c>
      <c r="H182">
        <v>69</v>
      </c>
      <c r="I182">
        <v>1</v>
      </c>
      <c r="J182">
        <v>69</v>
      </c>
    </row>
    <row r="183" spans="1:10" x14ac:dyDescent="0.25">
      <c r="A183">
        <v>182</v>
      </c>
      <c r="B183" s="2">
        <v>43152</v>
      </c>
      <c r="C183">
        <v>1</v>
      </c>
      <c r="D183" s="1" t="s">
        <v>14</v>
      </c>
      <c r="E183" s="1" t="s">
        <v>15</v>
      </c>
      <c r="F183" s="1" t="s">
        <v>16</v>
      </c>
      <c r="G183" s="1" t="s">
        <v>21</v>
      </c>
      <c r="H183">
        <v>159</v>
      </c>
      <c r="I183">
        <v>2</v>
      </c>
      <c r="J183">
        <v>318</v>
      </c>
    </row>
    <row r="184" spans="1:10" x14ac:dyDescent="0.25">
      <c r="A184">
        <v>183</v>
      </c>
      <c r="B184" s="2">
        <v>43153</v>
      </c>
      <c r="C184">
        <v>10</v>
      </c>
      <c r="D184" s="1" t="s">
        <v>39</v>
      </c>
      <c r="E184" s="1" t="s">
        <v>19</v>
      </c>
      <c r="F184" s="1" t="s">
        <v>20</v>
      </c>
      <c r="G184" s="1" t="s">
        <v>13</v>
      </c>
      <c r="H184">
        <v>199</v>
      </c>
      <c r="I184">
        <v>2</v>
      </c>
      <c r="J184">
        <v>398</v>
      </c>
    </row>
    <row r="185" spans="1:10" x14ac:dyDescent="0.25">
      <c r="A185">
        <v>184</v>
      </c>
      <c r="B185" s="2">
        <v>43154</v>
      </c>
      <c r="C185">
        <v>12</v>
      </c>
      <c r="D185" s="1" t="s">
        <v>42</v>
      </c>
      <c r="E185" s="1" t="s">
        <v>41</v>
      </c>
      <c r="F185" s="1" t="s">
        <v>12</v>
      </c>
      <c r="G185" s="1" t="s">
        <v>21</v>
      </c>
      <c r="H185">
        <v>159</v>
      </c>
      <c r="I185">
        <v>7</v>
      </c>
      <c r="J185">
        <v>1113</v>
      </c>
    </row>
    <row r="186" spans="1:10" x14ac:dyDescent="0.25">
      <c r="A186">
        <v>185</v>
      </c>
      <c r="B186" s="2">
        <v>43154</v>
      </c>
      <c r="C186">
        <v>4</v>
      </c>
      <c r="D186" s="1" t="s">
        <v>37</v>
      </c>
      <c r="E186" s="1" t="s">
        <v>43</v>
      </c>
      <c r="F186" s="1" t="s">
        <v>16</v>
      </c>
      <c r="G186" s="1" t="s">
        <v>32</v>
      </c>
      <c r="H186">
        <v>399</v>
      </c>
      <c r="I186">
        <v>5</v>
      </c>
      <c r="J186">
        <v>1995</v>
      </c>
    </row>
    <row r="187" spans="1:10" x14ac:dyDescent="0.25">
      <c r="A187">
        <v>186</v>
      </c>
      <c r="B187" s="2">
        <v>43154</v>
      </c>
      <c r="C187">
        <v>5</v>
      </c>
      <c r="D187" s="1" t="s">
        <v>40</v>
      </c>
      <c r="E187" s="1" t="s">
        <v>43</v>
      </c>
      <c r="F187" s="1" t="s">
        <v>16</v>
      </c>
      <c r="G187" s="1" t="s">
        <v>17</v>
      </c>
      <c r="H187">
        <v>289</v>
      </c>
      <c r="I187">
        <v>4</v>
      </c>
      <c r="J187">
        <v>1156</v>
      </c>
    </row>
    <row r="188" spans="1:10" x14ac:dyDescent="0.25">
      <c r="A188">
        <v>187</v>
      </c>
      <c r="B188" s="2">
        <v>43155</v>
      </c>
      <c r="C188">
        <v>17</v>
      </c>
      <c r="D188" s="1" t="s">
        <v>28</v>
      </c>
      <c r="E188" s="1" t="s">
        <v>23</v>
      </c>
      <c r="F188" s="1" t="s">
        <v>24</v>
      </c>
      <c r="G188" s="1" t="s">
        <v>32</v>
      </c>
      <c r="H188">
        <v>399</v>
      </c>
      <c r="I188">
        <v>9</v>
      </c>
      <c r="J188">
        <v>3591</v>
      </c>
    </row>
    <row r="189" spans="1:10" x14ac:dyDescent="0.25">
      <c r="A189">
        <v>188</v>
      </c>
      <c r="B189" s="2">
        <v>43155</v>
      </c>
      <c r="C189">
        <v>17</v>
      </c>
      <c r="D189" s="1" t="s">
        <v>28</v>
      </c>
      <c r="E189" s="1" t="s">
        <v>29</v>
      </c>
      <c r="F189" s="1" t="s">
        <v>24</v>
      </c>
      <c r="G189" s="1" t="s">
        <v>13</v>
      </c>
      <c r="H189">
        <v>199</v>
      </c>
      <c r="I189">
        <v>6</v>
      </c>
      <c r="J189">
        <v>1194</v>
      </c>
    </row>
    <row r="190" spans="1:10" x14ac:dyDescent="0.25">
      <c r="A190">
        <v>189</v>
      </c>
      <c r="B190" s="2">
        <v>43156</v>
      </c>
      <c r="C190">
        <v>20</v>
      </c>
      <c r="D190" s="1" t="s">
        <v>31</v>
      </c>
      <c r="E190" s="1" t="s">
        <v>23</v>
      </c>
      <c r="F190" s="1" t="s">
        <v>24</v>
      </c>
      <c r="G190" s="1" t="s">
        <v>32</v>
      </c>
      <c r="H190">
        <v>399</v>
      </c>
      <c r="I190">
        <v>8</v>
      </c>
      <c r="J190">
        <v>3192</v>
      </c>
    </row>
    <row r="191" spans="1:10" x14ac:dyDescent="0.25">
      <c r="A191">
        <v>190</v>
      </c>
      <c r="B191" s="2">
        <v>43156</v>
      </c>
      <c r="C191">
        <v>5</v>
      </c>
      <c r="D191" s="1" t="s">
        <v>40</v>
      </c>
      <c r="E191" s="1" t="s">
        <v>15</v>
      </c>
      <c r="F191" s="1" t="s">
        <v>16</v>
      </c>
      <c r="G191" s="1" t="s">
        <v>13</v>
      </c>
      <c r="H191">
        <v>199</v>
      </c>
      <c r="I191">
        <v>5</v>
      </c>
      <c r="J191">
        <v>995</v>
      </c>
    </row>
    <row r="192" spans="1:10" x14ac:dyDescent="0.25">
      <c r="A192">
        <v>191</v>
      </c>
      <c r="B192" s="2">
        <v>43156</v>
      </c>
      <c r="C192">
        <v>11</v>
      </c>
      <c r="D192" s="1" t="s">
        <v>10</v>
      </c>
      <c r="E192" s="1" t="s">
        <v>11</v>
      </c>
      <c r="F192" s="1" t="s">
        <v>12</v>
      </c>
      <c r="G192" s="1" t="s">
        <v>21</v>
      </c>
      <c r="H192">
        <v>159</v>
      </c>
      <c r="I192">
        <v>4</v>
      </c>
      <c r="J192">
        <v>636</v>
      </c>
    </row>
    <row r="193" spans="1:10" x14ac:dyDescent="0.25">
      <c r="A193">
        <v>192</v>
      </c>
      <c r="B193" s="2">
        <v>43157</v>
      </c>
      <c r="C193">
        <v>12</v>
      </c>
      <c r="D193" s="1" t="s">
        <v>42</v>
      </c>
      <c r="E193" s="1" t="s">
        <v>41</v>
      </c>
      <c r="F193" s="1" t="s">
        <v>12</v>
      </c>
      <c r="G193" s="1" t="s">
        <v>32</v>
      </c>
      <c r="H193">
        <v>399</v>
      </c>
      <c r="I193">
        <v>0</v>
      </c>
      <c r="J193">
        <v>0</v>
      </c>
    </row>
    <row r="194" spans="1:10" x14ac:dyDescent="0.25">
      <c r="A194">
        <v>193</v>
      </c>
      <c r="B194" s="2">
        <v>43158</v>
      </c>
      <c r="C194">
        <v>9</v>
      </c>
      <c r="D194" s="1" t="s">
        <v>18</v>
      </c>
      <c r="E194" s="1" t="s">
        <v>35</v>
      </c>
      <c r="F194" s="1" t="s">
        <v>20</v>
      </c>
      <c r="G194" s="1" t="s">
        <v>21</v>
      </c>
      <c r="H194">
        <v>159</v>
      </c>
      <c r="I194">
        <v>1</v>
      </c>
      <c r="J194">
        <v>159</v>
      </c>
    </row>
    <row r="195" spans="1:10" x14ac:dyDescent="0.25">
      <c r="A195">
        <v>194</v>
      </c>
      <c r="B195" s="2">
        <v>43158</v>
      </c>
      <c r="C195">
        <v>4</v>
      </c>
      <c r="D195" s="1" t="s">
        <v>37</v>
      </c>
      <c r="E195" s="1" t="s">
        <v>15</v>
      </c>
      <c r="F195" s="1" t="s">
        <v>16</v>
      </c>
      <c r="G195" s="1" t="s">
        <v>13</v>
      </c>
      <c r="H195">
        <v>199</v>
      </c>
      <c r="I195">
        <v>0</v>
      </c>
      <c r="J195">
        <v>0</v>
      </c>
    </row>
    <row r="196" spans="1:10" x14ac:dyDescent="0.25">
      <c r="A196">
        <v>195</v>
      </c>
      <c r="B196" s="2">
        <v>43158</v>
      </c>
      <c r="C196">
        <v>15</v>
      </c>
      <c r="D196" s="1" t="s">
        <v>46</v>
      </c>
      <c r="E196" s="1" t="s">
        <v>41</v>
      </c>
      <c r="F196" s="1" t="s">
        <v>12</v>
      </c>
      <c r="G196" s="1" t="s">
        <v>21</v>
      </c>
      <c r="H196">
        <v>159</v>
      </c>
      <c r="I196">
        <v>8</v>
      </c>
      <c r="J196">
        <v>1272</v>
      </c>
    </row>
    <row r="197" spans="1:10" x14ac:dyDescent="0.25">
      <c r="A197">
        <v>196</v>
      </c>
      <c r="B197" s="2">
        <v>43159</v>
      </c>
      <c r="C197">
        <v>6</v>
      </c>
      <c r="D197" s="1" t="s">
        <v>36</v>
      </c>
      <c r="E197" s="1" t="s">
        <v>35</v>
      </c>
      <c r="F197" s="1" t="s">
        <v>20</v>
      </c>
      <c r="G197" s="1" t="s">
        <v>17</v>
      </c>
      <c r="H197">
        <v>289</v>
      </c>
      <c r="I197">
        <v>9</v>
      </c>
      <c r="J197">
        <v>2601</v>
      </c>
    </row>
    <row r="198" spans="1:10" x14ac:dyDescent="0.25">
      <c r="A198">
        <v>197</v>
      </c>
      <c r="B198" s="2">
        <v>43160</v>
      </c>
      <c r="C198">
        <v>18</v>
      </c>
      <c r="D198" s="1" t="s">
        <v>22</v>
      </c>
      <c r="E198" s="1" t="s">
        <v>29</v>
      </c>
      <c r="F198" s="1" t="s">
        <v>24</v>
      </c>
      <c r="G198" s="1" t="s">
        <v>26</v>
      </c>
      <c r="H198">
        <v>69</v>
      </c>
      <c r="I198">
        <v>8</v>
      </c>
      <c r="J198">
        <v>552</v>
      </c>
    </row>
    <row r="199" spans="1:10" x14ac:dyDescent="0.25">
      <c r="A199">
        <v>198</v>
      </c>
      <c r="B199" s="2">
        <v>43160</v>
      </c>
      <c r="C199">
        <v>18</v>
      </c>
      <c r="D199" s="1" t="s">
        <v>22</v>
      </c>
      <c r="E199" s="1" t="s">
        <v>23</v>
      </c>
      <c r="F199" s="1" t="s">
        <v>24</v>
      </c>
      <c r="G199" s="1" t="s">
        <v>21</v>
      </c>
      <c r="H199">
        <v>159</v>
      </c>
      <c r="I199">
        <v>6</v>
      </c>
      <c r="J199">
        <v>954</v>
      </c>
    </row>
    <row r="200" spans="1:10" x14ac:dyDescent="0.25">
      <c r="A200">
        <v>199</v>
      </c>
      <c r="B200" s="2">
        <v>43161</v>
      </c>
      <c r="C200">
        <v>17</v>
      </c>
      <c r="D200" s="1" t="s">
        <v>28</v>
      </c>
      <c r="E200" s="1" t="s">
        <v>29</v>
      </c>
      <c r="F200" s="1" t="s">
        <v>24</v>
      </c>
      <c r="G200" s="1" t="s">
        <v>21</v>
      </c>
      <c r="H200">
        <v>159</v>
      </c>
      <c r="I200">
        <v>4</v>
      </c>
      <c r="J200">
        <v>636</v>
      </c>
    </row>
    <row r="201" spans="1:10" x14ac:dyDescent="0.25">
      <c r="A201">
        <v>200</v>
      </c>
      <c r="B201" s="2">
        <v>43162</v>
      </c>
      <c r="C201">
        <v>12</v>
      </c>
      <c r="D201" s="1" t="s">
        <v>42</v>
      </c>
      <c r="E201" s="1" t="s">
        <v>41</v>
      </c>
      <c r="F201" s="1" t="s">
        <v>12</v>
      </c>
      <c r="G201" s="1" t="s">
        <v>13</v>
      </c>
      <c r="H201">
        <v>199</v>
      </c>
      <c r="I201">
        <v>4</v>
      </c>
      <c r="J201">
        <v>796</v>
      </c>
    </row>
    <row r="202" spans="1:10" x14ac:dyDescent="0.25">
      <c r="A202">
        <v>201</v>
      </c>
      <c r="B202" s="2">
        <v>43163</v>
      </c>
      <c r="C202">
        <v>18</v>
      </c>
      <c r="D202" s="1" t="s">
        <v>22</v>
      </c>
      <c r="E202" s="1" t="s">
        <v>23</v>
      </c>
      <c r="F202" s="1" t="s">
        <v>24</v>
      </c>
      <c r="G202" s="1" t="s">
        <v>17</v>
      </c>
      <c r="H202">
        <v>289</v>
      </c>
      <c r="I202">
        <v>5</v>
      </c>
      <c r="J202">
        <v>1445</v>
      </c>
    </row>
    <row r="203" spans="1:10" x14ac:dyDescent="0.25">
      <c r="A203">
        <v>202</v>
      </c>
      <c r="B203" s="2">
        <v>43164</v>
      </c>
      <c r="C203">
        <v>9</v>
      </c>
      <c r="D203" s="1" t="s">
        <v>18</v>
      </c>
      <c r="E203" s="1" t="s">
        <v>19</v>
      </c>
      <c r="F203" s="1" t="s">
        <v>20</v>
      </c>
      <c r="G203" s="1" t="s">
        <v>13</v>
      </c>
      <c r="H203">
        <v>199</v>
      </c>
      <c r="I203">
        <v>0</v>
      </c>
      <c r="J203">
        <v>0</v>
      </c>
    </row>
    <row r="204" spans="1:10" x14ac:dyDescent="0.25">
      <c r="A204">
        <v>203</v>
      </c>
      <c r="B204" s="2">
        <v>43165</v>
      </c>
      <c r="C204">
        <v>12</v>
      </c>
      <c r="D204" s="1" t="s">
        <v>42</v>
      </c>
      <c r="E204" s="1" t="s">
        <v>11</v>
      </c>
      <c r="F204" s="1" t="s">
        <v>12</v>
      </c>
      <c r="G204" s="1" t="s">
        <v>17</v>
      </c>
      <c r="H204">
        <v>289</v>
      </c>
      <c r="I204">
        <v>7</v>
      </c>
      <c r="J204">
        <v>2023</v>
      </c>
    </row>
    <row r="205" spans="1:10" x14ac:dyDescent="0.25">
      <c r="A205">
        <v>204</v>
      </c>
      <c r="B205" s="2">
        <v>43166</v>
      </c>
      <c r="C205">
        <v>2</v>
      </c>
      <c r="D205" s="1" t="s">
        <v>45</v>
      </c>
      <c r="E205" s="1" t="s">
        <v>15</v>
      </c>
      <c r="F205" s="1" t="s">
        <v>16</v>
      </c>
      <c r="G205" s="1" t="s">
        <v>13</v>
      </c>
      <c r="H205">
        <v>199</v>
      </c>
      <c r="I205">
        <v>2</v>
      </c>
      <c r="J205">
        <v>398</v>
      </c>
    </row>
    <row r="206" spans="1:10" x14ac:dyDescent="0.25">
      <c r="A206">
        <v>205</v>
      </c>
      <c r="B206" s="2">
        <v>43167</v>
      </c>
      <c r="C206">
        <v>19</v>
      </c>
      <c r="D206" s="1" t="s">
        <v>38</v>
      </c>
      <c r="E206" s="1" t="s">
        <v>29</v>
      </c>
      <c r="F206" s="1" t="s">
        <v>24</v>
      </c>
      <c r="G206" s="1" t="s">
        <v>13</v>
      </c>
      <c r="H206">
        <v>199</v>
      </c>
      <c r="I206">
        <v>5</v>
      </c>
      <c r="J206">
        <v>995</v>
      </c>
    </row>
    <row r="207" spans="1:10" x14ac:dyDescent="0.25">
      <c r="A207">
        <v>206</v>
      </c>
      <c r="B207" s="2">
        <v>43167</v>
      </c>
      <c r="C207">
        <v>5</v>
      </c>
      <c r="D207" s="1" t="s">
        <v>40</v>
      </c>
      <c r="E207" s="1" t="s">
        <v>43</v>
      </c>
      <c r="F207" s="1" t="s">
        <v>16</v>
      </c>
      <c r="G207" s="1" t="s">
        <v>32</v>
      </c>
      <c r="H207">
        <v>399</v>
      </c>
      <c r="I207">
        <v>6</v>
      </c>
      <c r="J207">
        <v>2394</v>
      </c>
    </row>
    <row r="208" spans="1:10" x14ac:dyDescent="0.25">
      <c r="A208">
        <v>207</v>
      </c>
      <c r="B208" s="2">
        <v>43167</v>
      </c>
      <c r="C208">
        <v>18</v>
      </c>
      <c r="D208" s="1" t="s">
        <v>22</v>
      </c>
      <c r="E208" s="1" t="s">
        <v>23</v>
      </c>
      <c r="F208" s="1" t="s">
        <v>24</v>
      </c>
      <c r="G208" s="1" t="s">
        <v>13</v>
      </c>
      <c r="H208">
        <v>199</v>
      </c>
      <c r="I208">
        <v>6</v>
      </c>
      <c r="J208">
        <v>1194</v>
      </c>
    </row>
    <row r="209" spans="1:10" x14ac:dyDescent="0.25">
      <c r="A209">
        <v>208</v>
      </c>
      <c r="B209" s="2">
        <v>43167</v>
      </c>
      <c r="C209">
        <v>6</v>
      </c>
      <c r="D209" s="1" t="s">
        <v>36</v>
      </c>
      <c r="E209" s="1" t="s">
        <v>19</v>
      </c>
      <c r="F209" s="1" t="s">
        <v>20</v>
      </c>
      <c r="G209" s="1" t="s">
        <v>13</v>
      </c>
      <c r="H209">
        <v>199</v>
      </c>
      <c r="I209">
        <v>9</v>
      </c>
      <c r="J209">
        <v>1791</v>
      </c>
    </row>
    <row r="210" spans="1:10" x14ac:dyDescent="0.25">
      <c r="A210">
        <v>209</v>
      </c>
      <c r="B210" s="2">
        <v>43167</v>
      </c>
      <c r="C210">
        <v>16</v>
      </c>
      <c r="D210" s="1" t="s">
        <v>25</v>
      </c>
      <c r="E210" s="1" t="s">
        <v>29</v>
      </c>
      <c r="F210" s="1" t="s">
        <v>24</v>
      </c>
      <c r="G210" s="1" t="s">
        <v>21</v>
      </c>
      <c r="H210">
        <v>159</v>
      </c>
      <c r="I210">
        <v>3</v>
      </c>
      <c r="J210">
        <v>477</v>
      </c>
    </row>
    <row r="211" spans="1:10" x14ac:dyDescent="0.25">
      <c r="A211">
        <v>210</v>
      </c>
      <c r="B211" s="2">
        <v>43167</v>
      </c>
      <c r="C211">
        <v>14</v>
      </c>
      <c r="D211" s="1" t="s">
        <v>30</v>
      </c>
      <c r="E211" s="1" t="s">
        <v>11</v>
      </c>
      <c r="F211" s="1" t="s">
        <v>12</v>
      </c>
      <c r="G211" s="1" t="s">
        <v>32</v>
      </c>
      <c r="H211">
        <v>399</v>
      </c>
      <c r="I211">
        <v>8</v>
      </c>
      <c r="J211">
        <v>3192</v>
      </c>
    </row>
    <row r="212" spans="1:10" x14ac:dyDescent="0.25">
      <c r="A212">
        <v>211</v>
      </c>
      <c r="B212" s="2">
        <v>43167</v>
      </c>
      <c r="C212">
        <v>4</v>
      </c>
      <c r="D212" s="1" t="s">
        <v>37</v>
      </c>
      <c r="E212" s="1" t="s">
        <v>43</v>
      </c>
      <c r="F212" s="1" t="s">
        <v>16</v>
      </c>
      <c r="G212" s="1" t="s">
        <v>26</v>
      </c>
      <c r="H212">
        <v>69</v>
      </c>
      <c r="I212">
        <v>4</v>
      </c>
      <c r="J212">
        <v>276</v>
      </c>
    </row>
    <row r="213" spans="1:10" x14ac:dyDescent="0.25">
      <c r="A213">
        <v>212</v>
      </c>
      <c r="B213" s="2">
        <v>43167</v>
      </c>
      <c r="C213">
        <v>2</v>
      </c>
      <c r="D213" s="1" t="s">
        <v>45</v>
      </c>
      <c r="E213" s="1" t="s">
        <v>15</v>
      </c>
      <c r="F213" s="1" t="s">
        <v>16</v>
      </c>
      <c r="G213" s="1" t="s">
        <v>13</v>
      </c>
      <c r="H213">
        <v>199</v>
      </c>
      <c r="I213">
        <v>0</v>
      </c>
      <c r="J213">
        <v>0</v>
      </c>
    </row>
    <row r="214" spans="1:10" x14ac:dyDescent="0.25">
      <c r="A214">
        <v>213</v>
      </c>
      <c r="B214" s="2">
        <v>43168</v>
      </c>
      <c r="C214">
        <v>1</v>
      </c>
      <c r="D214" s="1" t="s">
        <v>14</v>
      </c>
      <c r="E214" s="1" t="s">
        <v>43</v>
      </c>
      <c r="F214" s="1" t="s">
        <v>16</v>
      </c>
      <c r="G214" s="1" t="s">
        <v>21</v>
      </c>
      <c r="H214">
        <v>159</v>
      </c>
      <c r="I214">
        <v>2</v>
      </c>
      <c r="J214">
        <v>318</v>
      </c>
    </row>
    <row r="215" spans="1:10" x14ac:dyDescent="0.25">
      <c r="A215">
        <v>214</v>
      </c>
      <c r="B215" s="2">
        <v>43169</v>
      </c>
      <c r="C215">
        <v>5</v>
      </c>
      <c r="D215" s="1" t="s">
        <v>40</v>
      </c>
      <c r="E215" s="1" t="s">
        <v>43</v>
      </c>
      <c r="F215" s="1" t="s">
        <v>16</v>
      </c>
      <c r="G215" s="1" t="s">
        <v>26</v>
      </c>
      <c r="H215">
        <v>69</v>
      </c>
      <c r="I215">
        <v>6</v>
      </c>
      <c r="J215">
        <v>414</v>
      </c>
    </row>
    <row r="216" spans="1:10" x14ac:dyDescent="0.25">
      <c r="A216">
        <v>215</v>
      </c>
      <c r="B216" s="2">
        <v>43170</v>
      </c>
      <c r="C216">
        <v>3</v>
      </c>
      <c r="D216" s="1" t="s">
        <v>33</v>
      </c>
      <c r="E216" s="1" t="s">
        <v>15</v>
      </c>
      <c r="F216" s="1" t="s">
        <v>16</v>
      </c>
      <c r="G216" s="1" t="s">
        <v>13</v>
      </c>
      <c r="H216">
        <v>199</v>
      </c>
      <c r="I216">
        <v>3</v>
      </c>
      <c r="J216">
        <v>597</v>
      </c>
    </row>
    <row r="217" spans="1:10" x14ac:dyDescent="0.25">
      <c r="A217">
        <v>216</v>
      </c>
      <c r="B217" s="2">
        <v>43170</v>
      </c>
      <c r="C217">
        <v>18</v>
      </c>
      <c r="D217" s="1" t="s">
        <v>22</v>
      </c>
      <c r="E217" s="1" t="s">
        <v>23</v>
      </c>
      <c r="F217" s="1" t="s">
        <v>24</v>
      </c>
      <c r="G217" s="1" t="s">
        <v>26</v>
      </c>
      <c r="H217">
        <v>69</v>
      </c>
      <c r="I217">
        <v>9</v>
      </c>
      <c r="J217">
        <v>621</v>
      </c>
    </row>
    <row r="218" spans="1:10" x14ac:dyDescent="0.25">
      <c r="A218">
        <v>217</v>
      </c>
      <c r="B218" s="2">
        <v>43170</v>
      </c>
      <c r="C218">
        <v>12</v>
      </c>
      <c r="D218" s="1" t="s">
        <v>42</v>
      </c>
      <c r="E218" s="1" t="s">
        <v>41</v>
      </c>
      <c r="F218" s="1" t="s">
        <v>12</v>
      </c>
      <c r="G218" s="1" t="s">
        <v>17</v>
      </c>
      <c r="H218">
        <v>289</v>
      </c>
      <c r="I218">
        <v>4</v>
      </c>
      <c r="J218">
        <v>1156</v>
      </c>
    </row>
    <row r="219" spans="1:10" x14ac:dyDescent="0.25">
      <c r="A219">
        <v>218</v>
      </c>
      <c r="B219" s="2">
        <v>43170</v>
      </c>
      <c r="C219">
        <v>8</v>
      </c>
      <c r="D219" s="1" t="s">
        <v>34</v>
      </c>
      <c r="E219" s="1" t="s">
        <v>35</v>
      </c>
      <c r="F219" s="1" t="s">
        <v>20</v>
      </c>
      <c r="G219" s="1" t="s">
        <v>21</v>
      </c>
      <c r="H219">
        <v>159</v>
      </c>
      <c r="I219">
        <v>2</v>
      </c>
      <c r="J219">
        <v>318</v>
      </c>
    </row>
    <row r="220" spans="1:10" x14ac:dyDescent="0.25">
      <c r="A220">
        <v>219</v>
      </c>
      <c r="B220" s="2">
        <v>43170</v>
      </c>
      <c r="C220">
        <v>7</v>
      </c>
      <c r="D220" s="1" t="s">
        <v>44</v>
      </c>
      <c r="E220" s="1" t="s">
        <v>35</v>
      </c>
      <c r="F220" s="1" t="s">
        <v>20</v>
      </c>
      <c r="G220" s="1" t="s">
        <v>21</v>
      </c>
      <c r="H220">
        <v>159</v>
      </c>
      <c r="I220">
        <v>1</v>
      </c>
      <c r="J220">
        <v>159</v>
      </c>
    </row>
    <row r="221" spans="1:10" x14ac:dyDescent="0.25">
      <c r="A221">
        <v>220</v>
      </c>
      <c r="B221" s="2">
        <v>43170</v>
      </c>
      <c r="C221">
        <v>17</v>
      </c>
      <c r="D221" s="1" t="s">
        <v>28</v>
      </c>
      <c r="E221" s="1" t="s">
        <v>29</v>
      </c>
      <c r="F221" s="1" t="s">
        <v>24</v>
      </c>
      <c r="G221" s="1" t="s">
        <v>21</v>
      </c>
      <c r="H221">
        <v>159</v>
      </c>
      <c r="I221">
        <v>2</v>
      </c>
      <c r="J221">
        <v>318</v>
      </c>
    </row>
    <row r="222" spans="1:10" x14ac:dyDescent="0.25">
      <c r="A222">
        <v>221</v>
      </c>
      <c r="B222" s="2">
        <v>43170</v>
      </c>
      <c r="C222">
        <v>13</v>
      </c>
      <c r="D222" s="1" t="s">
        <v>27</v>
      </c>
      <c r="E222" s="1" t="s">
        <v>11</v>
      </c>
      <c r="F222" s="1" t="s">
        <v>12</v>
      </c>
      <c r="G222" s="1" t="s">
        <v>21</v>
      </c>
      <c r="H222">
        <v>159</v>
      </c>
      <c r="I222">
        <v>3</v>
      </c>
      <c r="J222">
        <v>477</v>
      </c>
    </row>
    <row r="223" spans="1:10" x14ac:dyDescent="0.25">
      <c r="A223">
        <v>222</v>
      </c>
      <c r="B223" s="2">
        <v>43170</v>
      </c>
      <c r="C223">
        <v>4</v>
      </c>
      <c r="D223" s="1" t="s">
        <v>37</v>
      </c>
      <c r="E223" s="1" t="s">
        <v>15</v>
      </c>
      <c r="F223" s="1" t="s">
        <v>16</v>
      </c>
      <c r="G223" s="1" t="s">
        <v>13</v>
      </c>
      <c r="H223">
        <v>199</v>
      </c>
      <c r="I223">
        <v>8</v>
      </c>
      <c r="J223">
        <v>1592</v>
      </c>
    </row>
    <row r="224" spans="1:10" x14ac:dyDescent="0.25">
      <c r="A224">
        <v>223</v>
      </c>
      <c r="B224" s="2">
        <v>43170</v>
      </c>
      <c r="C224">
        <v>10</v>
      </c>
      <c r="D224" s="1" t="s">
        <v>39</v>
      </c>
      <c r="E224" s="1" t="s">
        <v>35</v>
      </c>
      <c r="F224" s="1" t="s">
        <v>20</v>
      </c>
      <c r="G224" s="1" t="s">
        <v>21</v>
      </c>
      <c r="H224">
        <v>159</v>
      </c>
      <c r="I224">
        <v>8</v>
      </c>
      <c r="J224">
        <v>1272</v>
      </c>
    </row>
    <row r="225" spans="1:10" x14ac:dyDescent="0.25">
      <c r="A225">
        <v>224</v>
      </c>
      <c r="B225" s="2">
        <v>43170</v>
      </c>
      <c r="C225">
        <v>9</v>
      </c>
      <c r="D225" s="1" t="s">
        <v>18</v>
      </c>
      <c r="E225" s="1" t="s">
        <v>19</v>
      </c>
      <c r="F225" s="1" t="s">
        <v>20</v>
      </c>
      <c r="G225" s="1" t="s">
        <v>32</v>
      </c>
      <c r="H225">
        <v>399</v>
      </c>
      <c r="I225">
        <v>6</v>
      </c>
      <c r="J225">
        <v>2394</v>
      </c>
    </row>
    <row r="226" spans="1:10" x14ac:dyDescent="0.25">
      <c r="A226">
        <v>225</v>
      </c>
      <c r="B226" s="2">
        <v>43170</v>
      </c>
      <c r="C226">
        <v>2</v>
      </c>
      <c r="D226" s="1" t="s">
        <v>45</v>
      </c>
      <c r="E226" s="1" t="s">
        <v>15</v>
      </c>
      <c r="F226" s="1" t="s">
        <v>16</v>
      </c>
      <c r="G226" s="1" t="s">
        <v>32</v>
      </c>
      <c r="H226">
        <v>399</v>
      </c>
      <c r="I226">
        <v>9</v>
      </c>
      <c r="J226">
        <v>3591</v>
      </c>
    </row>
    <row r="227" spans="1:10" x14ac:dyDescent="0.25">
      <c r="A227">
        <v>226</v>
      </c>
      <c r="B227" s="2">
        <v>43171</v>
      </c>
      <c r="C227">
        <v>14</v>
      </c>
      <c r="D227" s="1" t="s">
        <v>30</v>
      </c>
      <c r="E227" s="1" t="s">
        <v>11</v>
      </c>
      <c r="F227" s="1" t="s">
        <v>12</v>
      </c>
      <c r="G227" s="1" t="s">
        <v>32</v>
      </c>
      <c r="H227">
        <v>399</v>
      </c>
      <c r="I227">
        <v>1</v>
      </c>
      <c r="J227">
        <v>399</v>
      </c>
    </row>
    <row r="228" spans="1:10" x14ac:dyDescent="0.25">
      <c r="A228">
        <v>227</v>
      </c>
      <c r="B228" s="2">
        <v>43172</v>
      </c>
      <c r="C228">
        <v>14</v>
      </c>
      <c r="D228" s="1" t="s">
        <v>30</v>
      </c>
      <c r="E228" s="1" t="s">
        <v>11</v>
      </c>
      <c r="F228" s="1" t="s">
        <v>12</v>
      </c>
      <c r="G228" s="1" t="s">
        <v>32</v>
      </c>
      <c r="H228">
        <v>399</v>
      </c>
      <c r="I228">
        <v>1</v>
      </c>
      <c r="J228">
        <v>399</v>
      </c>
    </row>
    <row r="229" spans="1:10" x14ac:dyDescent="0.25">
      <c r="A229">
        <v>228</v>
      </c>
      <c r="B229" s="2">
        <v>43173</v>
      </c>
      <c r="C229">
        <v>1</v>
      </c>
      <c r="D229" s="1" t="s">
        <v>14</v>
      </c>
      <c r="E229" s="1" t="s">
        <v>43</v>
      </c>
      <c r="F229" s="1" t="s">
        <v>16</v>
      </c>
      <c r="G229" s="1" t="s">
        <v>17</v>
      </c>
      <c r="H229">
        <v>289</v>
      </c>
      <c r="I229">
        <v>2</v>
      </c>
      <c r="J229">
        <v>578</v>
      </c>
    </row>
    <row r="230" spans="1:10" x14ac:dyDescent="0.25">
      <c r="A230">
        <v>229</v>
      </c>
      <c r="B230" s="2">
        <v>43173</v>
      </c>
      <c r="C230">
        <v>17</v>
      </c>
      <c r="D230" s="1" t="s">
        <v>28</v>
      </c>
      <c r="E230" s="1" t="s">
        <v>23</v>
      </c>
      <c r="F230" s="1" t="s">
        <v>24</v>
      </c>
      <c r="G230" s="1" t="s">
        <v>17</v>
      </c>
      <c r="H230">
        <v>289</v>
      </c>
      <c r="I230">
        <v>8</v>
      </c>
      <c r="J230">
        <v>2312</v>
      </c>
    </row>
    <row r="231" spans="1:10" x14ac:dyDescent="0.25">
      <c r="A231">
        <v>230</v>
      </c>
      <c r="B231" s="2">
        <v>43174</v>
      </c>
      <c r="C231">
        <v>3</v>
      </c>
      <c r="D231" s="1" t="s">
        <v>33</v>
      </c>
      <c r="E231" s="1" t="s">
        <v>15</v>
      </c>
      <c r="F231" s="1" t="s">
        <v>16</v>
      </c>
      <c r="G231" s="1" t="s">
        <v>32</v>
      </c>
      <c r="H231">
        <v>399</v>
      </c>
      <c r="I231">
        <v>6</v>
      </c>
      <c r="J231">
        <v>2394</v>
      </c>
    </row>
    <row r="232" spans="1:10" x14ac:dyDescent="0.25">
      <c r="A232">
        <v>231</v>
      </c>
      <c r="B232" s="2">
        <v>43174</v>
      </c>
      <c r="C232">
        <v>19</v>
      </c>
      <c r="D232" s="1" t="s">
        <v>38</v>
      </c>
      <c r="E232" s="1" t="s">
        <v>23</v>
      </c>
      <c r="F232" s="1" t="s">
        <v>24</v>
      </c>
      <c r="G232" s="1" t="s">
        <v>13</v>
      </c>
      <c r="H232">
        <v>199</v>
      </c>
      <c r="I232">
        <v>6</v>
      </c>
      <c r="J232">
        <v>1194</v>
      </c>
    </row>
    <row r="233" spans="1:10" x14ac:dyDescent="0.25">
      <c r="A233">
        <v>232</v>
      </c>
      <c r="B233" s="2">
        <v>43174</v>
      </c>
      <c r="C233">
        <v>7</v>
      </c>
      <c r="D233" s="1" t="s">
        <v>44</v>
      </c>
      <c r="E233" s="1" t="s">
        <v>35</v>
      </c>
      <c r="F233" s="1" t="s">
        <v>20</v>
      </c>
      <c r="G233" s="1" t="s">
        <v>32</v>
      </c>
      <c r="H233">
        <v>399</v>
      </c>
      <c r="I233">
        <v>9</v>
      </c>
      <c r="J233">
        <v>3591</v>
      </c>
    </row>
    <row r="234" spans="1:10" x14ac:dyDescent="0.25">
      <c r="A234">
        <v>233</v>
      </c>
      <c r="B234" s="2">
        <v>43174</v>
      </c>
      <c r="C234">
        <v>9</v>
      </c>
      <c r="D234" s="1" t="s">
        <v>18</v>
      </c>
      <c r="E234" s="1" t="s">
        <v>35</v>
      </c>
      <c r="F234" s="1" t="s">
        <v>20</v>
      </c>
      <c r="G234" s="1" t="s">
        <v>26</v>
      </c>
      <c r="H234">
        <v>69</v>
      </c>
      <c r="I234">
        <v>8</v>
      </c>
      <c r="J234">
        <v>552</v>
      </c>
    </row>
    <row r="235" spans="1:10" x14ac:dyDescent="0.25">
      <c r="A235">
        <v>234</v>
      </c>
      <c r="B235" s="2">
        <v>43175</v>
      </c>
      <c r="C235">
        <v>15</v>
      </c>
      <c r="D235" s="1" t="s">
        <v>46</v>
      </c>
      <c r="E235" s="1" t="s">
        <v>41</v>
      </c>
      <c r="F235" s="1" t="s">
        <v>12</v>
      </c>
      <c r="G235" s="1" t="s">
        <v>13</v>
      </c>
      <c r="H235">
        <v>199</v>
      </c>
      <c r="I235">
        <v>2</v>
      </c>
      <c r="J235">
        <v>398</v>
      </c>
    </row>
    <row r="236" spans="1:10" x14ac:dyDescent="0.25">
      <c r="A236">
        <v>235</v>
      </c>
      <c r="B236" s="2">
        <v>43175</v>
      </c>
      <c r="C236">
        <v>2</v>
      </c>
      <c r="D236" s="1" t="s">
        <v>45</v>
      </c>
      <c r="E236" s="1" t="s">
        <v>15</v>
      </c>
      <c r="F236" s="1" t="s">
        <v>16</v>
      </c>
      <c r="G236" s="1" t="s">
        <v>17</v>
      </c>
      <c r="H236">
        <v>289</v>
      </c>
      <c r="I236">
        <v>3</v>
      </c>
      <c r="J236">
        <v>867</v>
      </c>
    </row>
    <row r="237" spans="1:10" x14ac:dyDescent="0.25">
      <c r="A237">
        <v>236</v>
      </c>
      <c r="B237" s="2">
        <v>43175</v>
      </c>
      <c r="C237">
        <v>20</v>
      </c>
      <c r="D237" s="1" t="s">
        <v>31</v>
      </c>
      <c r="E237" s="1" t="s">
        <v>29</v>
      </c>
      <c r="F237" s="1" t="s">
        <v>24</v>
      </c>
      <c r="G237" s="1" t="s">
        <v>26</v>
      </c>
      <c r="H237">
        <v>69</v>
      </c>
      <c r="I237">
        <v>8</v>
      </c>
      <c r="J237">
        <v>552</v>
      </c>
    </row>
    <row r="238" spans="1:10" x14ac:dyDescent="0.25">
      <c r="A238">
        <v>237</v>
      </c>
      <c r="B238" s="2">
        <v>43175</v>
      </c>
      <c r="C238">
        <v>4</v>
      </c>
      <c r="D238" s="1" t="s">
        <v>37</v>
      </c>
      <c r="E238" s="1" t="s">
        <v>15</v>
      </c>
      <c r="F238" s="1" t="s">
        <v>16</v>
      </c>
      <c r="G238" s="1" t="s">
        <v>26</v>
      </c>
      <c r="H238">
        <v>69</v>
      </c>
      <c r="I238">
        <v>7</v>
      </c>
      <c r="J238">
        <v>483</v>
      </c>
    </row>
    <row r="239" spans="1:10" x14ac:dyDescent="0.25">
      <c r="A239">
        <v>238</v>
      </c>
      <c r="B239" s="2">
        <v>43175</v>
      </c>
      <c r="C239">
        <v>7</v>
      </c>
      <c r="D239" s="1" t="s">
        <v>44</v>
      </c>
      <c r="E239" s="1" t="s">
        <v>19</v>
      </c>
      <c r="F239" s="1" t="s">
        <v>20</v>
      </c>
      <c r="G239" s="1" t="s">
        <v>13</v>
      </c>
      <c r="H239">
        <v>199</v>
      </c>
      <c r="I239">
        <v>3</v>
      </c>
      <c r="J239">
        <v>597</v>
      </c>
    </row>
    <row r="240" spans="1:10" x14ac:dyDescent="0.25">
      <c r="A240">
        <v>239</v>
      </c>
      <c r="B240" s="2">
        <v>43175</v>
      </c>
      <c r="C240">
        <v>16</v>
      </c>
      <c r="D240" s="1" t="s">
        <v>25</v>
      </c>
      <c r="E240" s="1" t="s">
        <v>29</v>
      </c>
      <c r="F240" s="1" t="s">
        <v>24</v>
      </c>
      <c r="G240" s="1" t="s">
        <v>32</v>
      </c>
      <c r="H240">
        <v>399</v>
      </c>
      <c r="I240">
        <v>9</v>
      </c>
      <c r="J240">
        <v>3591</v>
      </c>
    </row>
    <row r="241" spans="1:10" x14ac:dyDescent="0.25">
      <c r="A241">
        <v>240</v>
      </c>
      <c r="B241" s="2">
        <v>43175</v>
      </c>
      <c r="C241">
        <v>18</v>
      </c>
      <c r="D241" s="1" t="s">
        <v>22</v>
      </c>
      <c r="E241" s="1" t="s">
        <v>29</v>
      </c>
      <c r="F241" s="1" t="s">
        <v>24</v>
      </c>
      <c r="G241" s="1" t="s">
        <v>13</v>
      </c>
      <c r="H241">
        <v>199</v>
      </c>
      <c r="I241">
        <v>5</v>
      </c>
      <c r="J241">
        <v>995</v>
      </c>
    </row>
    <row r="242" spans="1:10" x14ac:dyDescent="0.25">
      <c r="A242">
        <v>241</v>
      </c>
      <c r="B242" s="2">
        <v>43175</v>
      </c>
      <c r="C242">
        <v>4</v>
      </c>
      <c r="D242" s="1" t="s">
        <v>37</v>
      </c>
      <c r="E242" s="1" t="s">
        <v>15</v>
      </c>
      <c r="F242" s="1" t="s">
        <v>16</v>
      </c>
      <c r="G242" s="1" t="s">
        <v>26</v>
      </c>
      <c r="H242">
        <v>69</v>
      </c>
      <c r="I242">
        <v>5</v>
      </c>
      <c r="J242">
        <v>345</v>
      </c>
    </row>
    <row r="243" spans="1:10" x14ac:dyDescent="0.25">
      <c r="A243">
        <v>242</v>
      </c>
      <c r="B243" s="2">
        <v>43176</v>
      </c>
      <c r="C243">
        <v>2</v>
      </c>
      <c r="D243" s="1" t="s">
        <v>45</v>
      </c>
      <c r="E243" s="1" t="s">
        <v>15</v>
      </c>
      <c r="F243" s="1" t="s">
        <v>16</v>
      </c>
      <c r="G243" s="1" t="s">
        <v>17</v>
      </c>
      <c r="H243">
        <v>289</v>
      </c>
      <c r="I243">
        <v>0</v>
      </c>
      <c r="J243">
        <v>0</v>
      </c>
    </row>
    <row r="244" spans="1:10" x14ac:dyDescent="0.25">
      <c r="A244">
        <v>243</v>
      </c>
      <c r="B244" s="2">
        <v>43176</v>
      </c>
      <c r="C244">
        <v>20</v>
      </c>
      <c r="D244" s="1" t="s">
        <v>31</v>
      </c>
      <c r="E244" s="1" t="s">
        <v>23</v>
      </c>
      <c r="F244" s="1" t="s">
        <v>24</v>
      </c>
      <c r="G244" s="1" t="s">
        <v>13</v>
      </c>
      <c r="H244">
        <v>199</v>
      </c>
      <c r="I244">
        <v>4</v>
      </c>
      <c r="J244">
        <v>796</v>
      </c>
    </row>
    <row r="245" spans="1:10" x14ac:dyDescent="0.25">
      <c r="A245">
        <v>244</v>
      </c>
      <c r="B245" s="2">
        <v>43176</v>
      </c>
      <c r="C245">
        <v>4</v>
      </c>
      <c r="D245" s="1" t="s">
        <v>37</v>
      </c>
      <c r="E245" s="1" t="s">
        <v>15</v>
      </c>
      <c r="F245" s="1" t="s">
        <v>16</v>
      </c>
      <c r="G245" s="1" t="s">
        <v>21</v>
      </c>
      <c r="H245">
        <v>159</v>
      </c>
      <c r="I245">
        <v>2</v>
      </c>
      <c r="J245">
        <v>318</v>
      </c>
    </row>
    <row r="246" spans="1:10" x14ac:dyDescent="0.25">
      <c r="A246">
        <v>245</v>
      </c>
      <c r="B246" s="2">
        <v>43177</v>
      </c>
      <c r="C246">
        <v>19</v>
      </c>
      <c r="D246" s="1" t="s">
        <v>38</v>
      </c>
      <c r="E246" s="1" t="s">
        <v>23</v>
      </c>
      <c r="F246" s="1" t="s">
        <v>24</v>
      </c>
      <c r="G246" s="1" t="s">
        <v>21</v>
      </c>
      <c r="H246">
        <v>159</v>
      </c>
      <c r="I246">
        <v>0</v>
      </c>
      <c r="J246">
        <v>0</v>
      </c>
    </row>
    <row r="247" spans="1:10" x14ac:dyDescent="0.25">
      <c r="A247">
        <v>246</v>
      </c>
      <c r="B247" s="2">
        <v>43177</v>
      </c>
      <c r="C247">
        <v>20</v>
      </c>
      <c r="D247" s="1" t="s">
        <v>31</v>
      </c>
      <c r="E247" s="1" t="s">
        <v>23</v>
      </c>
      <c r="F247" s="1" t="s">
        <v>24</v>
      </c>
      <c r="G247" s="1" t="s">
        <v>17</v>
      </c>
      <c r="H247">
        <v>289</v>
      </c>
      <c r="I247">
        <v>4</v>
      </c>
      <c r="J247">
        <v>1156</v>
      </c>
    </row>
    <row r="248" spans="1:10" x14ac:dyDescent="0.25">
      <c r="A248">
        <v>247</v>
      </c>
      <c r="B248" s="2">
        <v>43177</v>
      </c>
      <c r="C248">
        <v>6</v>
      </c>
      <c r="D248" s="1" t="s">
        <v>36</v>
      </c>
      <c r="E248" s="1" t="s">
        <v>19</v>
      </c>
      <c r="F248" s="1" t="s">
        <v>20</v>
      </c>
      <c r="G248" s="1" t="s">
        <v>17</v>
      </c>
      <c r="H248">
        <v>289</v>
      </c>
      <c r="I248">
        <v>2</v>
      </c>
      <c r="J248">
        <v>578</v>
      </c>
    </row>
    <row r="249" spans="1:10" x14ac:dyDescent="0.25">
      <c r="A249">
        <v>248</v>
      </c>
      <c r="B249" s="2">
        <v>43177</v>
      </c>
      <c r="C249">
        <v>18</v>
      </c>
      <c r="D249" s="1" t="s">
        <v>22</v>
      </c>
      <c r="E249" s="1" t="s">
        <v>29</v>
      </c>
      <c r="F249" s="1" t="s">
        <v>24</v>
      </c>
      <c r="G249" s="1" t="s">
        <v>26</v>
      </c>
      <c r="H249">
        <v>69</v>
      </c>
      <c r="I249">
        <v>5</v>
      </c>
      <c r="J249">
        <v>345</v>
      </c>
    </row>
    <row r="250" spans="1:10" x14ac:dyDescent="0.25">
      <c r="A250">
        <v>249</v>
      </c>
      <c r="B250" s="2">
        <v>43177</v>
      </c>
      <c r="C250">
        <v>19</v>
      </c>
      <c r="D250" s="1" t="s">
        <v>38</v>
      </c>
      <c r="E250" s="1" t="s">
        <v>23</v>
      </c>
      <c r="F250" s="1" t="s">
        <v>24</v>
      </c>
      <c r="G250" s="1" t="s">
        <v>32</v>
      </c>
      <c r="H250">
        <v>399</v>
      </c>
      <c r="I250">
        <v>3</v>
      </c>
      <c r="J250">
        <v>1197</v>
      </c>
    </row>
    <row r="251" spans="1:10" x14ac:dyDescent="0.25">
      <c r="A251">
        <v>250</v>
      </c>
      <c r="B251" s="2">
        <v>43177</v>
      </c>
      <c r="C251">
        <v>8</v>
      </c>
      <c r="D251" s="1" t="s">
        <v>34</v>
      </c>
      <c r="E251" s="1" t="s">
        <v>19</v>
      </c>
      <c r="F251" s="1" t="s">
        <v>20</v>
      </c>
      <c r="G251" s="1" t="s">
        <v>21</v>
      </c>
      <c r="H251">
        <v>159</v>
      </c>
      <c r="I251">
        <v>7</v>
      </c>
      <c r="J251">
        <v>1113</v>
      </c>
    </row>
    <row r="252" spans="1:10" x14ac:dyDescent="0.25">
      <c r="A252">
        <v>251</v>
      </c>
      <c r="B252" s="2">
        <v>43177</v>
      </c>
      <c r="C252">
        <v>2</v>
      </c>
      <c r="D252" s="1" t="s">
        <v>45</v>
      </c>
      <c r="E252" s="1" t="s">
        <v>43</v>
      </c>
      <c r="F252" s="1" t="s">
        <v>16</v>
      </c>
      <c r="G252" s="1" t="s">
        <v>32</v>
      </c>
      <c r="H252">
        <v>399</v>
      </c>
      <c r="I252">
        <v>9</v>
      </c>
      <c r="J252">
        <v>3591</v>
      </c>
    </row>
    <row r="253" spans="1:10" x14ac:dyDescent="0.25">
      <c r="A253">
        <v>252</v>
      </c>
      <c r="B253" s="2">
        <v>43177</v>
      </c>
      <c r="C253">
        <v>14</v>
      </c>
      <c r="D253" s="1" t="s">
        <v>30</v>
      </c>
      <c r="E253" s="1" t="s">
        <v>11</v>
      </c>
      <c r="F253" s="1" t="s">
        <v>12</v>
      </c>
      <c r="G253" s="1" t="s">
        <v>13</v>
      </c>
      <c r="H253">
        <v>199</v>
      </c>
      <c r="I253">
        <v>2</v>
      </c>
      <c r="J253">
        <v>398</v>
      </c>
    </row>
    <row r="254" spans="1:10" x14ac:dyDescent="0.25">
      <c r="A254">
        <v>253</v>
      </c>
      <c r="B254" s="2">
        <v>43177</v>
      </c>
      <c r="C254">
        <v>16</v>
      </c>
      <c r="D254" s="1" t="s">
        <v>25</v>
      </c>
      <c r="E254" s="1" t="s">
        <v>23</v>
      </c>
      <c r="F254" s="1" t="s">
        <v>24</v>
      </c>
      <c r="G254" s="1" t="s">
        <v>32</v>
      </c>
      <c r="H254">
        <v>399</v>
      </c>
      <c r="I254">
        <v>5</v>
      </c>
      <c r="J254">
        <v>1995</v>
      </c>
    </row>
    <row r="255" spans="1:10" x14ac:dyDescent="0.25">
      <c r="A255">
        <v>254</v>
      </c>
      <c r="B255" s="2">
        <v>43178</v>
      </c>
      <c r="C255">
        <v>6</v>
      </c>
      <c r="D255" s="1" t="s">
        <v>36</v>
      </c>
      <c r="E255" s="1" t="s">
        <v>19</v>
      </c>
      <c r="F255" s="1" t="s">
        <v>20</v>
      </c>
      <c r="G255" s="1" t="s">
        <v>21</v>
      </c>
      <c r="H255">
        <v>159</v>
      </c>
      <c r="I255">
        <v>4</v>
      </c>
      <c r="J255">
        <v>636</v>
      </c>
    </row>
    <row r="256" spans="1:10" x14ac:dyDescent="0.25">
      <c r="A256">
        <v>255</v>
      </c>
      <c r="B256" s="2">
        <v>43178</v>
      </c>
      <c r="C256">
        <v>5</v>
      </c>
      <c r="D256" s="1" t="s">
        <v>40</v>
      </c>
      <c r="E256" s="1" t="s">
        <v>43</v>
      </c>
      <c r="F256" s="1" t="s">
        <v>16</v>
      </c>
      <c r="G256" s="1" t="s">
        <v>13</v>
      </c>
      <c r="H256">
        <v>199</v>
      </c>
      <c r="I256">
        <v>9</v>
      </c>
      <c r="J256">
        <v>1791</v>
      </c>
    </row>
    <row r="257" spans="1:10" x14ac:dyDescent="0.25">
      <c r="A257">
        <v>256</v>
      </c>
      <c r="B257" s="2">
        <v>43178</v>
      </c>
      <c r="C257">
        <v>18</v>
      </c>
      <c r="D257" s="1" t="s">
        <v>22</v>
      </c>
      <c r="E257" s="1" t="s">
        <v>23</v>
      </c>
      <c r="F257" s="1" t="s">
        <v>24</v>
      </c>
      <c r="G257" s="1" t="s">
        <v>21</v>
      </c>
      <c r="H257">
        <v>159</v>
      </c>
      <c r="I257">
        <v>2</v>
      </c>
      <c r="J257">
        <v>318</v>
      </c>
    </row>
    <row r="258" spans="1:10" x14ac:dyDescent="0.25">
      <c r="A258">
        <v>257</v>
      </c>
      <c r="B258" s="2">
        <v>43178</v>
      </c>
      <c r="C258">
        <v>2</v>
      </c>
      <c r="D258" s="1" t="s">
        <v>45</v>
      </c>
      <c r="E258" s="1" t="s">
        <v>15</v>
      </c>
      <c r="F258" s="1" t="s">
        <v>16</v>
      </c>
      <c r="G258" s="1" t="s">
        <v>26</v>
      </c>
      <c r="H258">
        <v>69</v>
      </c>
      <c r="I258">
        <v>8</v>
      </c>
      <c r="J258">
        <v>552</v>
      </c>
    </row>
    <row r="259" spans="1:10" x14ac:dyDescent="0.25">
      <c r="A259">
        <v>258</v>
      </c>
      <c r="B259" s="2">
        <v>43179</v>
      </c>
      <c r="C259">
        <v>17</v>
      </c>
      <c r="D259" s="1" t="s">
        <v>28</v>
      </c>
      <c r="E259" s="1" t="s">
        <v>29</v>
      </c>
      <c r="F259" s="1" t="s">
        <v>24</v>
      </c>
      <c r="G259" s="1" t="s">
        <v>32</v>
      </c>
      <c r="H259">
        <v>399</v>
      </c>
      <c r="I259">
        <v>5</v>
      </c>
      <c r="J259">
        <v>1995</v>
      </c>
    </row>
    <row r="260" spans="1:10" x14ac:dyDescent="0.25">
      <c r="A260">
        <v>259</v>
      </c>
      <c r="B260" s="2">
        <v>43179</v>
      </c>
      <c r="C260">
        <v>16</v>
      </c>
      <c r="D260" s="1" t="s">
        <v>25</v>
      </c>
      <c r="E260" s="1" t="s">
        <v>23</v>
      </c>
      <c r="F260" s="1" t="s">
        <v>24</v>
      </c>
      <c r="G260" s="1" t="s">
        <v>17</v>
      </c>
      <c r="H260">
        <v>289</v>
      </c>
      <c r="I260">
        <v>1</v>
      </c>
      <c r="J260">
        <v>289</v>
      </c>
    </row>
    <row r="261" spans="1:10" x14ac:dyDescent="0.25">
      <c r="A261">
        <v>260</v>
      </c>
      <c r="B261" s="2">
        <v>43179</v>
      </c>
      <c r="C261">
        <v>14</v>
      </c>
      <c r="D261" s="1" t="s">
        <v>30</v>
      </c>
      <c r="E261" s="1" t="s">
        <v>11</v>
      </c>
      <c r="F261" s="1" t="s">
        <v>12</v>
      </c>
      <c r="G261" s="1" t="s">
        <v>26</v>
      </c>
      <c r="H261">
        <v>69</v>
      </c>
      <c r="I261">
        <v>9</v>
      </c>
      <c r="J261">
        <v>621</v>
      </c>
    </row>
    <row r="262" spans="1:10" x14ac:dyDescent="0.25">
      <c r="A262">
        <v>261</v>
      </c>
      <c r="B262" s="2">
        <v>43180</v>
      </c>
      <c r="C262">
        <v>4</v>
      </c>
      <c r="D262" s="1" t="s">
        <v>37</v>
      </c>
      <c r="E262" s="1" t="s">
        <v>15</v>
      </c>
      <c r="F262" s="1" t="s">
        <v>16</v>
      </c>
      <c r="G262" s="1" t="s">
        <v>13</v>
      </c>
      <c r="H262">
        <v>199</v>
      </c>
      <c r="I262">
        <v>8</v>
      </c>
      <c r="J262">
        <v>1592</v>
      </c>
    </row>
    <row r="263" spans="1:10" x14ac:dyDescent="0.25">
      <c r="A263">
        <v>262</v>
      </c>
      <c r="B263" s="2">
        <v>43181</v>
      </c>
      <c r="C263">
        <v>8</v>
      </c>
      <c r="D263" s="1" t="s">
        <v>34</v>
      </c>
      <c r="E263" s="1" t="s">
        <v>35</v>
      </c>
      <c r="F263" s="1" t="s">
        <v>20</v>
      </c>
      <c r="G263" s="1" t="s">
        <v>21</v>
      </c>
      <c r="H263">
        <v>159</v>
      </c>
      <c r="I263">
        <v>1</v>
      </c>
      <c r="J263">
        <v>159</v>
      </c>
    </row>
    <row r="264" spans="1:10" x14ac:dyDescent="0.25">
      <c r="A264">
        <v>263</v>
      </c>
      <c r="B264" s="2">
        <v>43182</v>
      </c>
      <c r="C264">
        <v>7</v>
      </c>
      <c r="D264" s="1" t="s">
        <v>44</v>
      </c>
      <c r="E264" s="1" t="s">
        <v>35</v>
      </c>
      <c r="F264" s="1" t="s">
        <v>20</v>
      </c>
      <c r="G264" s="1" t="s">
        <v>21</v>
      </c>
      <c r="H264">
        <v>159</v>
      </c>
      <c r="I264">
        <v>5</v>
      </c>
      <c r="J264">
        <v>795</v>
      </c>
    </row>
    <row r="265" spans="1:10" x14ac:dyDescent="0.25">
      <c r="A265">
        <v>264</v>
      </c>
      <c r="B265" s="2">
        <v>43183</v>
      </c>
      <c r="C265">
        <v>17</v>
      </c>
      <c r="D265" s="1" t="s">
        <v>28</v>
      </c>
      <c r="E265" s="1" t="s">
        <v>29</v>
      </c>
      <c r="F265" s="1" t="s">
        <v>24</v>
      </c>
      <c r="G265" s="1" t="s">
        <v>13</v>
      </c>
      <c r="H265">
        <v>199</v>
      </c>
      <c r="I265">
        <v>1</v>
      </c>
      <c r="J265">
        <v>199</v>
      </c>
    </row>
    <row r="266" spans="1:10" x14ac:dyDescent="0.25">
      <c r="A266">
        <v>265</v>
      </c>
      <c r="B266" s="2">
        <v>43183</v>
      </c>
      <c r="C266">
        <v>17</v>
      </c>
      <c r="D266" s="1" t="s">
        <v>28</v>
      </c>
      <c r="E266" s="1" t="s">
        <v>23</v>
      </c>
      <c r="F266" s="1" t="s">
        <v>24</v>
      </c>
      <c r="G266" s="1" t="s">
        <v>17</v>
      </c>
      <c r="H266">
        <v>289</v>
      </c>
      <c r="I266">
        <v>7</v>
      </c>
      <c r="J266">
        <v>2023</v>
      </c>
    </row>
    <row r="267" spans="1:10" x14ac:dyDescent="0.25">
      <c r="A267">
        <v>266</v>
      </c>
      <c r="B267" s="2">
        <v>43184</v>
      </c>
      <c r="C267">
        <v>12</v>
      </c>
      <c r="D267" s="1" t="s">
        <v>42</v>
      </c>
      <c r="E267" s="1" t="s">
        <v>41</v>
      </c>
      <c r="F267" s="1" t="s">
        <v>12</v>
      </c>
      <c r="G267" s="1" t="s">
        <v>26</v>
      </c>
      <c r="H267">
        <v>69</v>
      </c>
      <c r="I267">
        <v>4</v>
      </c>
      <c r="J267">
        <v>276</v>
      </c>
    </row>
    <row r="268" spans="1:10" x14ac:dyDescent="0.25">
      <c r="A268">
        <v>267</v>
      </c>
      <c r="B268" s="2">
        <v>43184</v>
      </c>
      <c r="C268">
        <v>16</v>
      </c>
      <c r="D268" s="1" t="s">
        <v>25</v>
      </c>
      <c r="E268" s="1" t="s">
        <v>23</v>
      </c>
      <c r="F268" s="1" t="s">
        <v>24</v>
      </c>
      <c r="G268" s="1" t="s">
        <v>13</v>
      </c>
      <c r="H268">
        <v>199</v>
      </c>
      <c r="I268">
        <v>8</v>
      </c>
      <c r="J268">
        <v>1592</v>
      </c>
    </row>
    <row r="269" spans="1:10" x14ac:dyDescent="0.25">
      <c r="A269">
        <v>268</v>
      </c>
      <c r="B269" s="2">
        <v>43184</v>
      </c>
      <c r="C269">
        <v>4</v>
      </c>
      <c r="D269" s="1" t="s">
        <v>37</v>
      </c>
      <c r="E269" s="1" t="s">
        <v>43</v>
      </c>
      <c r="F269" s="1" t="s">
        <v>16</v>
      </c>
      <c r="G269" s="1" t="s">
        <v>13</v>
      </c>
      <c r="H269">
        <v>199</v>
      </c>
      <c r="I269">
        <v>1</v>
      </c>
      <c r="J269">
        <v>199</v>
      </c>
    </row>
    <row r="270" spans="1:10" x14ac:dyDescent="0.25">
      <c r="A270">
        <v>269</v>
      </c>
      <c r="B270" s="2">
        <v>43184</v>
      </c>
      <c r="C270">
        <v>20</v>
      </c>
      <c r="D270" s="1" t="s">
        <v>31</v>
      </c>
      <c r="E270" s="1" t="s">
        <v>23</v>
      </c>
      <c r="F270" s="1" t="s">
        <v>24</v>
      </c>
      <c r="G270" s="1" t="s">
        <v>13</v>
      </c>
      <c r="H270">
        <v>199</v>
      </c>
      <c r="I270">
        <v>6</v>
      </c>
      <c r="J270">
        <v>1194</v>
      </c>
    </row>
    <row r="271" spans="1:10" x14ac:dyDescent="0.25">
      <c r="A271">
        <v>270</v>
      </c>
      <c r="B271" s="2">
        <v>43184</v>
      </c>
      <c r="C271">
        <v>14</v>
      </c>
      <c r="D271" s="1" t="s">
        <v>30</v>
      </c>
      <c r="E271" s="1" t="s">
        <v>41</v>
      </c>
      <c r="F271" s="1" t="s">
        <v>12</v>
      </c>
      <c r="G271" s="1" t="s">
        <v>32</v>
      </c>
      <c r="H271">
        <v>399</v>
      </c>
      <c r="I271">
        <v>9</v>
      </c>
      <c r="J271">
        <v>3591</v>
      </c>
    </row>
    <row r="272" spans="1:10" x14ac:dyDescent="0.25">
      <c r="A272">
        <v>271</v>
      </c>
      <c r="B272" s="2">
        <v>43184</v>
      </c>
      <c r="C272">
        <v>14</v>
      </c>
      <c r="D272" s="1" t="s">
        <v>30</v>
      </c>
      <c r="E272" s="1" t="s">
        <v>11</v>
      </c>
      <c r="F272" s="1" t="s">
        <v>12</v>
      </c>
      <c r="G272" s="1" t="s">
        <v>13</v>
      </c>
      <c r="H272">
        <v>199</v>
      </c>
      <c r="I272">
        <v>3</v>
      </c>
      <c r="J272">
        <v>597</v>
      </c>
    </row>
    <row r="273" spans="1:10" x14ac:dyDescent="0.25">
      <c r="A273">
        <v>272</v>
      </c>
      <c r="B273" s="2">
        <v>43184</v>
      </c>
      <c r="C273">
        <v>15</v>
      </c>
      <c r="D273" s="1" t="s">
        <v>46</v>
      </c>
      <c r="E273" s="1" t="s">
        <v>41</v>
      </c>
      <c r="F273" s="1" t="s">
        <v>12</v>
      </c>
      <c r="G273" s="1" t="s">
        <v>17</v>
      </c>
      <c r="H273">
        <v>289</v>
      </c>
      <c r="I273">
        <v>7</v>
      </c>
      <c r="J273">
        <v>2023</v>
      </c>
    </row>
    <row r="274" spans="1:10" x14ac:dyDescent="0.25">
      <c r="A274">
        <v>273</v>
      </c>
      <c r="B274" s="2">
        <v>43184</v>
      </c>
      <c r="C274">
        <v>3</v>
      </c>
      <c r="D274" s="1" t="s">
        <v>33</v>
      </c>
      <c r="E274" s="1" t="s">
        <v>43</v>
      </c>
      <c r="F274" s="1" t="s">
        <v>16</v>
      </c>
      <c r="G274" s="1" t="s">
        <v>13</v>
      </c>
      <c r="H274">
        <v>199</v>
      </c>
      <c r="I274">
        <v>9</v>
      </c>
      <c r="J274">
        <v>1791</v>
      </c>
    </row>
    <row r="275" spans="1:10" x14ac:dyDescent="0.25">
      <c r="A275">
        <v>274</v>
      </c>
      <c r="B275" s="2">
        <v>43184</v>
      </c>
      <c r="C275">
        <v>7</v>
      </c>
      <c r="D275" s="1" t="s">
        <v>44</v>
      </c>
      <c r="E275" s="1" t="s">
        <v>19</v>
      </c>
      <c r="F275" s="1" t="s">
        <v>20</v>
      </c>
      <c r="G275" s="1" t="s">
        <v>13</v>
      </c>
      <c r="H275">
        <v>199</v>
      </c>
      <c r="I275">
        <v>3</v>
      </c>
      <c r="J275">
        <v>597</v>
      </c>
    </row>
    <row r="276" spans="1:10" x14ac:dyDescent="0.25">
      <c r="A276">
        <v>275</v>
      </c>
      <c r="B276" s="2">
        <v>43184</v>
      </c>
      <c r="C276">
        <v>7</v>
      </c>
      <c r="D276" s="1" t="s">
        <v>44</v>
      </c>
      <c r="E276" s="1" t="s">
        <v>35</v>
      </c>
      <c r="F276" s="1" t="s">
        <v>20</v>
      </c>
      <c r="G276" s="1" t="s">
        <v>17</v>
      </c>
      <c r="H276">
        <v>289</v>
      </c>
      <c r="I276">
        <v>0</v>
      </c>
      <c r="J276">
        <v>0</v>
      </c>
    </row>
    <row r="277" spans="1:10" x14ac:dyDescent="0.25">
      <c r="A277">
        <v>276</v>
      </c>
      <c r="B277" s="2">
        <v>43184</v>
      </c>
      <c r="C277">
        <v>2</v>
      </c>
      <c r="D277" s="1" t="s">
        <v>45</v>
      </c>
      <c r="E277" s="1" t="s">
        <v>15</v>
      </c>
      <c r="F277" s="1" t="s">
        <v>16</v>
      </c>
      <c r="G277" s="1" t="s">
        <v>21</v>
      </c>
      <c r="H277">
        <v>159</v>
      </c>
      <c r="I277">
        <v>7</v>
      </c>
      <c r="J277">
        <v>1113</v>
      </c>
    </row>
    <row r="278" spans="1:10" x14ac:dyDescent="0.25">
      <c r="A278">
        <v>277</v>
      </c>
      <c r="B278" s="2">
        <v>43185</v>
      </c>
      <c r="C278">
        <v>16</v>
      </c>
      <c r="D278" s="1" t="s">
        <v>25</v>
      </c>
      <c r="E278" s="1" t="s">
        <v>23</v>
      </c>
      <c r="F278" s="1" t="s">
        <v>24</v>
      </c>
      <c r="G278" s="1" t="s">
        <v>17</v>
      </c>
      <c r="H278">
        <v>289</v>
      </c>
      <c r="I278">
        <v>3</v>
      </c>
      <c r="J278">
        <v>867</v>
      </c>
    </row>
    <row r="279" spans="1:10" x14ac:dyDescent="0.25">
      <c r="A279">
        <v>278</v>
      </c>
      <c r="B279" s="2">
        <v>43185</v>
      </c>
      <c r="C279">
        <v>6</v>
      </c>
      <c r="D279" s="1" t="s">
        <v>36</v>
      </c>
      <c r="E279" s="1" t="s">
        <v>19</v>
      </c>
      <c r="F279" s="1" t="s">
        <v>20</v>
      </c>
      <c r="G279" s="1" t="s">
        <v>32</v>
      </c>
      <c r="H279">
        <v>399</v>
      </c>
      <c r="I279">
        <v>8</v>
      </c>
      <c r="J279">
        <v>3192</v>
      </c>
    </row>
    <row r="280" spans="1:10" x14ac:dyDescent="0.25">
      <c r="A280">
        <v>279</v>
      </c>
      <c r="B280" s="2">
        <v>43185</v>
      </c>
      <c r="C280">
        <v>9</v>
      </c>
      <c r="D280" s="1" t="s">
        <v>18</v>
      </c>
      <c r="E280" s="1" t="s">
        <v>19</v>
      </c>
      <c r="F280" s="1" t="s">
        <v>20</v>
      </c>
      <c r="G280" s="1" t="s">
        <v>26</v>
      </c>
      <c r="H280">
        <v>69</v>
      </c>
      <c r="I280">
        <v>9</v>
      </c>
      <c r="J280">
        <v>621</v>
      </c>
    </row>
    <row r="281" spans="1:10" x14ac:dyDescent="0.25">
      <c r="A281">
        <v>280</v>
      </c>
      <c r="B281" s="2">
        <v>43185</v>
      </c>
      <c r="C281">
        <v>16</v>
      </c>
      <c r="D281" s="1" t="s">
        <v>25</v>
      </c>
      <c r="E281" s="1" t="s">
        <v>29</v>
      </c>
      <c r="F281" s="1" t="s">
        <v>24</v>
      </c>
      <c r="G281" s="1" t="s">
        <v>13</v>
      </c>
      <c r="H281">
        <v>199</v>
      </c>
      <c r="I281">
        <v>1</v>
      </c>
      <c r="J281">
        <v>199</v>
      </c>
    </row>
    <row r="282" spans="1:10" x14ac:dyDescent="0.25">
      <c r="A282">
        <v>281</v>
      </c>
      <c r="B282" s="2">
        <v>43185</v>
      </c>
      <c r="C282">
        <v>20</v>
      </c>
      <c r="D282" s="1" t="s">
        <v>31</v>
      </c>
      <c r="E282" s="1" t="s">
        <v>29</v>
      </c>
      <c r="F282" s="1" t="s">
        <v>24</v>
      </c>
      <c r="G282" s="1" t="s">
        <v>26</v>
      </c>
      <c r="H282">
        <v>69</v>
      </c>
      <c r="I282">
        <v>3</v>
      </c>
      <c r="J282">
        <v>207</v>
      </c>
    </row>
    <row r="283" spans="1:10" x14ac:dyDescent="0.25">
      <c r="A283">
        <v>282</v>
      </c>
      <c r="B283" s="2">
        <v>43186</v>
      </c>
      <c r="C283">
        <v>16</v>
      </c>
      <c r="D283" s="1" t="s">
        <v>25</v>
      </c>
      <c r="E283" s="1" t="s">
        <v>23</v>
      </c>
      <c r="F283" s="1" t="s">
        <v>24</v>
      </c>
      <c r="G283" s="1" t="s">
        <v>21</v>
      </c>
      <c r="H283">
        <v>159</v>
      </c>
      <c r="I283">
        <v>6</v>
      </c>
      <c r="J283">
        <v>954</v>
      </c>
    </row>
    <row r="284" spans="1:10" x14ac:dyDescent="0.25">
      <c r="A284">
        <v>283</v>
      </c>
      <c r="B284" s="2">
        <v>43186</v>
      </c>
      <c r="C284">
        <v>20</v>
      </c>
      <c r="D284" s="1" t="s">
        <v>31</v>
      </c>
      <c r="E284" s="1" t="s">
        <v>29</v>
      </c>
      <c r="F284" s="1" t="s">
        <v>24</v>
      </c>
      <c r="G284" s="1" t="s">
        <v>21</v>
      </c>
      <c r="H284">
        <v>159</v>
      </c>
      <c r="I284">
        <v>0</v>
      </c>
      <c r="J284">
        <v>0</v>
      </c>
    </row>
    <row r="285" spans="1:10" x14ac:dyDescent="0.25">
      <c r="A285">
        <v>284</v>
      </c>
      <c r="B285" s="2">
        <v>43186</v>
      </c>
      <c r="C285">
        <v>2</v>
      </c>
      <c r="D285" s="1" t="s">
        <v>45</v>
      </c>
      <c r="E285" s="1" t="s">
        <v>15</v>
      </c>
      <c r="F285" s="1" t="s">
        <v>16</v>
      </c>
      <c r="G285" s="1" t="s">
        <v>21</v>
      </c>
      <c r="H285">
        <v>159</v>
      </c>
      <c r="I285">
        <v>4</v>
      </c>
      <c r="J285">
        <v>636</v>
      </c>
    </row>
    <row r="286" spans="1:10" x14ac:dyDescent="0.25">
      <c r="A286">
        <v>285</v>
      </c>
      <c r="B286" s="2">
        <v>43186</v>
      </c>
      <c r="C286">
        <v>11</v>
      </c>
      <c r="D286" s="1" t="s">
        <v>10</v>
      </c>
      <c r="E286" s="1" t="s">
        <v>11</v>
      </c>
      <c r="F286" s="1" t="s">
        <v>12</v>
      </c>
      <c r="G286" s="1" t="s">
        <v>17</v>
      </c>
      <c r="H286">
        <v>289</v>
      </c>
      <c r="I286">
        <v>3</v>
      </c>
      <c r="J286">
        <v>867</v>
      </c>
    </row>
    <row r="287" spans="1:10" x14ac:dyDescent="0.25">
      <c r="A287">
        <v>286</v>
      </c>
      <c r="B287" s="2">
        <v>43186</v>
      </c>
      <c r="C287">
        <v>13</v>
      </c>
      <c r="D287" s="1" t="s">
        <v>27</v>
      </c>
      <c r="E287" s="1" t="s">
        <v>41</v>
      </c>
      <c r="F287" s="1" t="s">
        <v>12</v>
      </c>
      <c r="G287" s="1" t="s">
        <v>26</v>
      </c>
      <c r="H287">
        <v>69</v>
      </c>
      <c r="I287">
        <v>6</v>
      </c>
      <c r="J287">
        <v>414</v>
      </c>
    </row>
    <row r="288" spans="1:10" x14ac:dyDescent="0.25">
      <c r="A288">
        <v>287</v>
      </c>
      <c r="B288" s="2">
        <v>43186</v>
      </c>
      <c r="C288">
        <v>4</v>
      </c>
      <c r="D288" s="1" t="s">
        <v>37</v>
      </c>
      <c r="E288" s="1" t="s">
        <v>15</v>
      </c>
      <c r="F288" s="1" t="s">
        <v>16</v>
      </c>
      <c r="G288" s="1" t="s">
        <v>17</v>
      </c>
      <c r="H288">
        <v>289</v>
      </c>
      <c r="I288">
        <v>7</v>
      </c>
      <c r="J288">
        <v>2023</v>
      </c>
    </row>
    <row r="289" spans="1:10" x14ac:dyDescent="0.25">
      <c r="A289">
        <v>288</v>
      </c>
      <c r="B289" s="2">
        <v>43186</v>
      </c>
      <c r="C289">
        <v>3</v>
      </c>
      <c r="D289" s="1" t="s">
        <v>33</v>
      </c>
      <c r="E289" s="1" t="s">
        <v>43</v>
      </c>
      <c r="F289" s="1" t="s">
        <v>16</v>
      </c>
      <c r="G289" s="1" t="s">
        <v>21</v>
      </c>
      <c r="H289">
        <v>159</v>
      </c>
      <c r="I289">
        <v>2</v>
      </c>
      <c r="J289">
        <v>318</v>
      </c>
    </row>
    <row r="290" spans="1:10" x14ac:dyDescent="0.25">
      <c r="A290">
        <v>289</v>
      </c>
      <c r="B290" s="2">
        <v>43187</v>
      </c>
      <c r="C290">
        <v>20</v>
      </c>
      <c r="D290" s="1" t="s">
        <v>31</v>
      </c>
      <c r="E290" s="1" t="s">
        <v>29</v>
      </c>
      <c r="F290" s="1" t="s">
        <v>24</v>
      </c>
      <c r="G290" s="1" t="s">
        <v>17</v>
      </c>
      <c r="H290">
        <v>289</v>
      </c>
      <c r="I290">
        <v>1</v>
      </c>
      <c r="J290">
        <v>289</v>
      </c>
    </row>
    <row r="291" spans="1:10" x14ac:dyDescent="0.25">
      <c r="A291">
        <v>290</v>
      </c>
      <c r="B291" s="2">
        <v>43188</v>
      </c>
      <c r="C291">
        <v>3</v>
      </c>
      <c r="D291" s="1" t="s">
        <v>33</v>
      </c>
      <c r="E291" s="1" t="s">
        <v>15</v>
      </c>
      <c r="F291" s="1" t="s">
        <v>16</v>
      </c>
      <c r="G291" s="1" t="s">
        <v>21</v>
      </c>
      <c r="H291">
        <v>159</v>
      </c>
      <c r="I291">
        <v>9</v>
      </c>
      <c r="J291">
        <v>1431</v>
      </c>
    </row>
    <row r="292" spans="1:10" x14ac:dyDescent="0.25">
      <c r="A292">
        <v>291</v>
      </c>
      <c r="B292" s="2">
        <v>43189</v>
      </c>
      <c r="C292">
        <v>19</v>
      </c>
      <c r="D292" s="1" t="s">
        <v>38</v>
      </c>
      <c r="E292" s="1" t="s">
        <v>23</v>
      </c>
      <c r="F292" s="1" t="s">
        <v>24</v>
      </c>
      <c r="G292" s="1" t="s">
        <v>26</v>
      </c>
      <c r="H292">
        <v>69</v>
      </c>
      <c r="I292">
        <v>3</v>
      </c>
      <c r="J292">
        <v>207</v>
      </c>
    </row>
    <row r="293" spans="1:10" x14ac:dyDescent="0.25">
      <c r="A293">
        <v>292</v>
      </c>
      <c r="B293" s="2">
        <v>43189</v>
      </c>
      <c r="C293">
        <v>1</v>
      </c>
      <c r="D293" s="1" t="s">
        <v>14</v>
      </c>
      <c r="E293" s="1" t="s">
        <v>43</v>
      </c>
      <c r="F293" s="1" t="s">
        <v>16</v>
      </c>
      <c r="G293" s="1" t="s">
        <v>21</v>
      </c>
      <c r="H293">
        <v>159</v>
      </c>
      <c r="I293">
        <v>0</v>
      </c>
      <c r="J293">
        <v>0</v>
      </c>
    </row>
    <row r="294" spans="1:10" x14ac:dyDescent="0.25">
      <c r="A294">
        <v>293</v>
      </c>
      <c r="B294" s="2">
        <v>43189</v>
      </c>
      <c r="C294">
        <v>2</v>
      </c>
      <c r="D294" s="1" t="s">
        <v>45</v>
      </c>
      <c r="E294" s="1" t="s">
        <v>15</v>
      </c>
      <c r="F294" s="1" t="s">
        <v>16</v>
      </c>
      <c r="G294" s="1" t="s">
        <v>13</v>
      </c>
      <c r="H294">
        <v>199</v>
      </c>
      <c r="I294">
        <v>7</v>
      </c>
      <c r="J294">
        <v>1393</v>
      </c>
    </row>
    <row r="295" spans="1:10" x14ac:dyDescent="0.25">
      <c r="A295">
        <v>294</v>
      </c>
      <c r="B295" s="2">
        <v>43189</v>
      </c>
      <c r="C295">
        <v>16</v>
      </c>
      <c r="D295" s="1" t="s">
        <v>25</v>
      </c>
      <c r="E295" s="1" t="s">
        <v>23</v>
      </c>
      <c r="F295" s="1" t="s">
        <v>24</v>
      </c>
      <c r="G295" s="1" t="s">
        <v>21</v>
      </c>
      <c r="H295">
        <v>159</v>
      </c>
      <c r="I295">
        <v>2</v>
      </c>
      <c r="J295">
        <v>318</v>
      </c>
    </row>
    <row r="296" spans="1:10" x14ac:dyDescent="0.25">
      <c r="A296">
        <v>295</v>
      </c>
      <c r="B296" s="2">
        <v>43190</v>
      </c>
      <c r="C296">
        <v>7</v>
      </c>
      <c r="D296" s="1" t="s">
        <v>44</v>
      </c>
      <c r="E296" s="1" t="s">
        <v>35</v>
      </c>
      <c r="F296" s="1" t="s">
        <v>20</v>
      </c>
      <c r="G296" s="1" t="s">
        <v>26</v>
      </c>
      <c r="H296">
        <v>69</v>
      </c>
      <c r="I296">
        <v>3</v>
      </c>
      <c r="J296">
        <v>207</v>
      </c>
    </row>
    <row r="297" spans="1:10" x14ac:dyDescent="0.25">
      <c r="A297">
        <v>296</v>
      </c>
      <c r="B297" s="2">
        <v>43190</v>
      </c>
      <c r="C297">
        <v>9</v>
      </c>
      <c r="D297" s="1" t="s">
        <v>18</v>
      </c>
      <c r="E297" s="1" t="s">
        <v>19</v>
      </c>
      <c r="F297" s="1" t="s">
        <v>20</v>
      </c>
      <c r="G297" s="1" t="s">
        <v>26</v>
      </c>
      <c r="H297">
        <v>69</v>
      </c>
      <c r="I297">
        <v>4</v>
      </c>
      <c r="J297">
        <v>276</v>
      </c>
    </row>
    <row r="298" spans="1:10" x14ac:dyDescent="0.25">
      <c r="A298">
        <v>297</v>
      </c>
      <c r="B298" s="2">
        <v>43190</v>
      </c>
      <c r="C298">
        <v>14</v>
      </c>
      <c r="D298" s="1" t="s">
        <v>30</v>
      </c>
      <c r="E298" s="1" t="s">
        <v>11</v>
      </c>
      <c r="F298" s="1" t="s">
        <v>12</v>
      </c>
      <c r="G298" s="1" t="s">
        <v>32</v>
      </c>
      <c r="H298">
        <v>399</v>
      </c>
      <c r="I298">
        <v>5</v>
      </c>
      <c r="J298">
        <v>1995</v>
      </c>
    </row>
    <row r="299" spans="1:10" x14ac:dyDescent="0.25">
      <c r="A299">
        <v>298</v>
      </c>
      <c r="B299" s="2">
        <v>43190</v>
      </c>
      <c r="C299">
        <v>13</v>
      </c>
      <c r="D299" s="1" t="s">
        <v>27</v>
      </c>
      <c r="E299" s="1" t="s">
        <v>41</v>
      </c>
      <c r="F299" s="1" t="s">
        <v>12</v>
      </c>
      <c r="G299" s="1" t="s">
        <v>26</v>
      </c>
      <c r="H299">
        <v>69</v>
      </c>
      <c r="I299">
        <v>4</v>
      </c>
      <c r="J299">
        <v>276</v>
      </c>
    </row>
    <row r="300" spans="1:10" x14ac:dyDescent="0.25">
      <c r="A300">
        <v>299</v>
      </c>
      <c r="B300" s="2">
        <v>43190</v>
      </c>
      <c r="C300">
        <v>12</v>
      </c>
      <c r="D300" s="1" t="s">
        <v>42</v>
      </c>
      <c r="E300" s="1" t="s">
        <v>11</v>
      </c>
      <c r="F300" s="1" t="s">
        <v>12</v>
      </c>
      <c r="G300" s="1" t="s">
        <v>13</v>
      </c>
      <c r="H300">
        <v>199</v>
      </c>
      <c r="I300">
        <v>8</v>
      </c>
      <c r="J300">
        <v>1592</v>
      </c>
    </row>
    <row r="301" spans="1:10" x14ac:dyDescent="0.25">
      <c r="A301">
        <v>300</v>
      </c>
      <c r="B301" s="2">
        <v>43191</v>
      </c>
      <c r="C301">
        <v>7</v>
      </c>
      <c r="D301" s="1" t="s">
        <v>44</v>
      </c>
      <c r="E301" s="1" t="s">
        <v>19</v>
      </c>
      <c r="F301" s="1" t="s">
        <v>20</v>
      </c>
      <c r="G301" s="1" t="s">
        <v>26</v>
      </c>
      <c r="H301">
        <v>69</v>
      </c>
      <c r="I301">
        <v>2</v>
      </c>
      <c r="J301">
        <v>138</v>
      </c>
    </row>
    <row r="302" spans="1:10" x14ac:dyDescent="0.25">
      <c r="A302">
        <v>301</v>
      </c>
      <c r="B302" s="2">
        <v>43192</v>
      </c>
      <c r="C302">
        <v>10</v>
      </c>
      <c r="D302" s="1" t="s">
        <v>39</v>
      </c>
      <c r="E302" s="1" t="s">
        <v>19</v>
      </c>
      <c r="F302" s="1" t="s">
        <v>20</v>
      </c>
      <c r="G302" s="1" t="s">
        <v>32</v>
      </c>
      <c r="H302">
        <v>399</v>
      </c>
      <c r="I302">
        <v>9</v>
      </c>
      <c r="J302">
        <v>3591</v>
      </c>
    </row>
    <row r="303" spans="1:10" x14ac:dyDescent="0.25">
      <c r="A303">
        <v>302</v>
      </c>
      <c r="B303" s="2">
        <v>43193</v>
      </c>
      <c r="C303">
        <v>6</v>
      </c>
      <c r="D303" s="1" t="s">
        <v>36</v>
      </c>
      <c r="E303" s="1" t="s">
        <v>35</v>
      </c>
      <c r="F303" s="1" t="s">
        <v>20</v>
      </c>
      <c r="G303" s="1" t="s">
        <v>26</v>
      </c>
      <c r="H303">
        <v>69</v>
      </c>
      <c r="I303">
        <v>6</v>
      </c>
      <c r="J303">
        <v>414</v>
      </c>
    </row>
    <row r="304" spans="1:10" x14ac:dyDescent="0.25">
      <c r="A304">
        <v>303</v>
      </c>
      <c r="B304" s="2">
        <v>43194</v>
      </c>
      <c r="C304">
        <v>20</v>
      </c>
      <c r="D304" s="1" t="s">
        <v>31</v>
      </c>
      <c r="E304" s="1" t="s">
        <v>23</v>
      </c>
      <c r="F304" s="1" t="s">
        <v>24</v>
      </c>
      <c r="G304" s="1" t="s">
        <v>21</v>
      </c>
      <c r="H304">
        <v>159</v>
      </c>
      <c r="I304">
        <v>0</v>
      </c>
      <c r="J304">
        <v>0</v>
      </c>
    </row>
    <row r="305" spans="1:10" x14ac:dyDescent="0.25">
      <c r="A305">
        <v>304</v>
      </c>
      <c r="B305" s="2">
        <v>43194</v>
      </c>
      <c r="C305">
        <v>2</v>
      </c>
      <c r="D305" s="1" t="s">
        <v>45</v>
      </c>
      <c r="E305" s="1" t="s">
        <v>43</v>
      </c>
      <c r="F305" s="1" t="s">
        <v>16</v>
      </c>
      <c r="G305" s="1" t="s">
        <v>26</v>
      </c>
      <c r="H305">
        <v>69</v>
      </c>
      <c r="I305">
        <v>1</v>
      </c>
      <c r="J305">
        <v>69</v>
      </c>
    </row>
    <row r="306" spans="1:10" x14ac:dyDescent="0.25">
      <c r="A306">
        <v>305</v>
      </c>
      <c r="B306" s="2">
        <v>43195</v>
      </c>
      <c r="C306">
        <v>8</v>
      </c>
      <c r="D306" s="1" t="s">
        <v>34</v>
      </c>
      <c r="E306" s="1" t="s">
        <v>35</v>
      </c>
      <c r="F306" s="1" t="s">
        <v>20</v>
      </c>
      <c r="G306" s="1" t="s">
        <v>17</v>
      </c>
      <c r="H306">
        <v>289</v>
      </c>
      <c r="I306">
        <v>9</v>
      </c>
      <c r="J306">
        <v>2601</v>
      </c>
    </row>
    <row r="307" spans="1:10" x14ac:dyDescent="0.25">
      <c r="A307">
        <v>306</v>
      </c>
      <c r="B307" s="2">
        <v>43195</v>
      </c>
      <c r="C307">
        <v>1</v>
      </c>
      <c r="D307" s="1" t="s">
        <v>14</v>
      </c>
      <c r="E307" s="1" t="s">
        <v>15</v>
      </c>
      <c r="F307" s="1" t="s">
        <v>16</v>
      </c>
      <c r="G307" s="1" t="s">
        <v>21</v>
      </c>
      <c r="H307">
        <v>159</v>
      </c>
      <c r="I307">
        <v>3</v>
      </c>
      <c r="J307">
        <v>477</v>
      </c>
    </row>
    <row r="308" spans="1:10" x14ac:dyDescent="0.25">
      <c r="A308">
        <v>307</v>
      </c>
      <c r="B308" s="2">
        <v>43195</v>
      </c>
      <c r="C308">
        <v>4</v>
      </c>
      <c r="D308" s="1" t="s">
        <v>37</v>
      </c>
      <c r="E308" s="1" t="s">
        <v>15</v>
      </c>
      <c r="F308" s="1" t="s">
        <v>16</v>
      </c>
      <c r="G308" s="1" t="s">
        <v>13</v>
      </c>
      <c r="H308">
        <v>199</v>
      </c>
      <c r="I308">
        <v>5</v>
      </c>
      <c r="J308">
        <v>995</v>
      </c>
    </row>
    <row r="309" spans="1:10" x14ac:dyDescent="0.25">
      <c r="A309">
        <v>308</v>
      </c>
      <c r="B309" s="2">
        <v>43195</v>
      </c>
      <c r="C309">
        <v>12</v>
      </c>
      <c r="D309" s="1" t="s">
        <v>42</v>
      </c>
      <c r="E309" s="1" t="s">
        <v>11</v>
      </c>
      <c r="F309" s="1" t="s">
        <v>12</v>
      </c>
      <c r="G309" s="1" t="s">
        <v>13</v>
      </c>
      <c r="H309">
        <v>199</v>
      </c>
      <c r="I309">
        <v>6</v>
      </c>
      <c r="J309">
        <v>1194</v>
      </c>
    </row>
    <row r="310" spans="1:10" x14ac:dyDescent="0.25">
      <c r="A310">
        <v>309</v>
      </c>
      <c r="B310" s="2">
        <v>43196</v>
      </c>
      <c r="C310">
        <v>15</v>
      </c>
      <c r="D310" s="1" t="s">
        <v>46</v>
      </c>
      <c r="E310" s="1" t="s">
        <v>11</v>
      </c>
      <c r="F310" s="1" t="s">
        <v>12</v>
      </c>
      <c r="G310" s="1" t="s">
        <v>17</v>
      </c>
      <c r="H310">
        <v>289</v>
      </c>
      <c r="I310">
        <v>8</v>
      </c>
      <c r="J310">
        <v>2312</v>
      </c>
    </row>
    <row r="311" spans="1:10" x14ac:dyDescent="0.25">
      <c r="A311">
        <v>310</v>
      </c>
      <c r="B311" s="2">
        <v>43196</v>
      </c>
      <c r="C311">
        <v>6</v>
      </c>
      <c r="D311" s="1" t="s">
        <v>36</v>
      </c>
      <c r="E311" s="1" t="s">
        <v>35</v>
      </c>
      <c r="F311" s="1" t="s">
        <v>20</v>
      </c>
      <c r="G311" s="1" t="s">
        <v>26</v>
      </c>
      <c r="H311">
        <v>69</v>
      </c>
      <c r="I311">
        <v>0</v>
      </c>
      <c r="J311">
        <v>0</v>
      </c>
    </row>
    <row r="312" spans="1:10" x14ac:dyDescent="0.25">
      <c r="A312">
        <v>311</v>
      </c>
      <c r="B312" s="2">
        <v>43197</v>
      </c>
      <c r="C312">
        <v>19</v>
      </c>
      <c r="D312" s="1" t="s">
        <v>38</v>
      </c>
      <c r="E312" s="1" t="s">
        <v>23</v>
      </c>
      <c r="F312" s="1" t="s">
        <v>24</v>
      </c>
      <c r="G312" s="1" t="s">
        <v>17</v>
      </c>
      <c r="H312">
        <v>289</v>
      </c>
      <c r="I312">
        <v>5</v>
      </c>
      <c r="J312">
        <v>1445</v>
      </c>
    </row>
    <row r="313" spans="1:10" x14ac:dyDescent="0.25">
      <c r="A313">
        <v>312</v>
      </c>
      <c r="B313" s="2">
        <v>43197</v>
      </c>
      <c r="C313">
        <v>18</v>
      </c>
      <c r="D313" s="1" t="s">
        <v>22</v>
      </c>
      <c r="E313" s="1" t="s">
        <v>23</v>
      </c>
      <c r="F313" s="1" t="s">
        <v>24</v>
      </c>
      <c r="G313" s="1" t="s">
        <v>13</v>
      </c>
      <c r="H313">
        <v>199</v>
      </c>
      <c r="I313">
        <v>0</v>
      </c>
      <c r="J313">
        <v>0</v>
      </c>
    </row>
    <row r="314" spans="1:10" x14ac:dyDescent="0.25">
      <c r="A314">
        <v>313</v>
      </c>
      <c r="B314" s="2">
        <v>43197</v>
      </c>
      <c r="C314">
        <v>7</v>
      </c>
      <c r="D314" s="1" t="s">
        <v>44</v>
      </c>
      <c r="E314" s="1" t="s">
        <v>19</v>
      </c>
      <c r="F314" s="1" t="s">
        <v>20</v>
      </c>
      <c r="G314" s="1" t="s">
        <v>13</v>
      </c>
      <c r="H314">
        <v>199</v>
      </c>
      <c r="I314">
        <v>9</v>
      </c>
      <c r="J314">
        <v>1791</v>
      </c>
    </row>
    <row r="315" spans="1:10" x14ac:dyDescent="0.25">
      <c r="A315">
        <v>314</v>
      </c>
      <c r="B315" s="2">
        <v>43197</v>
      </c>
      <c r="C315">
        <v>2</v>
      </c>
      <c r="D315" s="1" t="s">
        <v>45</v>
      </c>
      <c r="E315" s="1" t="s">
        <v>43</v>
      </c>
      <c r="F315" s="1" t="s">
        <v>16</v>
      </c>
      <c r="G315" s="1" t="s">
        <v>13</v>
      </c>
      <c r="H315">
        <v>199</v>
      </c>
      <c r="I315">
        <v>5</v>
      </c>
      <c r="J315">
        <v>995</v>
      </c>
    </row>
    <row r="316" spans="1:10" x14ac:dyDescent="0.25">
      <c r="A316">
        <v>315</v>
      </c>
      <c r="B316" s="2">
        <v>43198</v>
      </c>
      <c r="C316">
        <v>19</v>
      </c>
      <c r="D316" s="1" t="s">
        <v>38</v>
      </c>
      <c r="E316" s="1" t="s">
        <v>23</v>
      </c>
      <c r="F316" s="1" t="s">
        <v>24</v>
      </c>
      <c r="G316" s="1" t="s">
        <v>13</v>
      </c>
      <c r="H316">
        <v>199</v>
      </c>
      <c r="I316">
        <v>9</v>
      </c>
      <c r="J316">
        <v>1791</v>
      </c>
    </row>
    <row r="317" spans="1:10" x14ac:dyDescent="0.25">
      <c r="A317">
        <v>316</v>
      </c>
      <c r="B317" s="2">
        <v>43198</v>
      </c>
      <c r="C317">
        <v>19</v>
      </c>
      <c r="D317" s="1" t="s">
        <v>38</v>
      </c>
      <c r="E317" s="1" t="s">
        <v>23</v>
      </c>
      <c r="F317" s="1" t="s">
        <v>24</v>
      </c>
      <c r="G317" s="1" t="s">
        <v>13</v>
      </c>
      <c r="H317">
        <v>199</v>
      </c>
      <c r="I317">
        <v>8</v>
      </c>
      <c r="J317">
        <v>1592</v>
      </c>
    </row>
    <row r="318" spans="1:10" x14ac:dyDescent="0.25">
      <c r="A318">
        <v>317</v>
      </c>
      <c r="B318" s="2">
        <v>43199</v>
      </c>
      <c r="C318">
        <v>2</v>
      </c>
      <c r="D318" s="1" t="s">
        <v>45</v>
      </c>
      <c r="E318" s="1" t="s">
        <v>15</v>
      </c>
      <c r="F318" s="1" t="s">
        <v>16</v>
      </c>
      <c r="G318" s="1" t="s">
        <v>13</v>
      </c>
      <c r="H318">
        <v>199</v>
      </c>
      <c r="I318">
        <v>3</v>
      </c>
      <c r="J318">
        <v>597</v>
      </c>
    </row>
    <row r="319" spans="1:10" x14ac:dyDescent="0.25">
      <c r="A319">
        <v>318</v>
      </c>
      <c r="B319" s="2">
        <v>43199</v>
      </c>
      <c r="C319">
        <v>5</v>
      </c>
      <c r="D319" s="1" t="s">
        <v>40</v>
      </c>
      <c r="E319" s="1" t="s">
        <v>43</v>
      </c>
      <c r="F319" s="1" t="s">
        <v>16</v>
      </c>
      <c r="G319" s="1" t="s">
        <v>13</v>
      </c>
      <c r="H319">
        <v>199</v>
      </c>
      <c r="I319">
        <v>4</v>
      </c>
      <c r="J319">
        <v>796</v>
      </c>
    </row>
    <row r="320" spans="1:10" x14ac:dyDescent="0.25">
      <c r="A320">
        <v>319</v>
      </c>
      <c r="B320" s="2">
        <v>43200</v>
      </c>
      <c r="C320">
        <v>14</v>
      </c>
      <c r="D320" s="1" t="s">
        <v>30</v>
      </c>
      <c r="E320" s="1" t="s">
        <v>11</v>
      </c>
      <c r="F320" s="1" t="s">
        <v>12</v>
      </c>
      <c r="G320" s="1" t="s">
        <v>26</v>
      </c>
      <c r="H320">
        <v>69</v>
      </c>
      <c r="I320">
        <v>3</v>
      </c>
      <c r="J320">
        <v>207</v>
      </c>
    </row>
    <row r="321" spans="1:10" x14ac:dyDescent="0.25">
      <c r="A321">
        <v>320</v>
      </c>
      <c r="B321" s="2">
        <v>43201</v>
      </c>
      <c r="C321">
        <v>12</v>
      </c>
      <c r="D321" s="1" t="s">
        <v>42</v>
      </c>
      <c r="E321" s="1" t="s">
        <v>41</v>
      </c>
      <c r="F321" s="1" t="s">
        <v>12</v>
      </c>
      <c r="G321" s="1" t="s">
        <v>26</v>
      </c>
      <c r="H321">
        <v>69</v>
      </c>
      <c r="I321">
        <v>0</v>
      </c>
      <c r="J321">
        <v>0</v>
      </c>
    </row>
    <row r="322" spans="1:10" x14ac:dyDescent="0.25">
      <c r="A322">
        <v>321</v>
      </c>
      <c r="B322" s="2">
        <v>43202</v>
      </c>
      <c r="C322">
        <v>9</v>
      </c>
      <c r="D322" s="1" t="s">
        <v>18</v>
      </c>
      <c r="E322" s="1" t="s">
        <v>19</v>
      </c>
      <c r="F322" s="1" t="s">
        <v>20</v>
      </c>
      <c r="G322" s="1" t="s">
        <v>32</v>
      </c>
      <c r="H322">
        <v>399</v>
      </c>
      <c r="I322">
        <v>1</v>
      </c>
      <c r="J322">
        <v>399</v>
      </c>
    </row>
    <row r="323" spans="1:10" x14ac:dyDescent="0.25">
      <c r="A323">
        <v>322</v>
      </c>
      <c r="B323" s="2">
        <v>43203</v>
      </c>
      <c r="C323">
        <v>2</v>
      </c>
      <c r="D323" s="1" t="s">
        <v>45</v>
      </c>
      <c r="E323" s="1" t="s">
        <v>15</v>
      </c>
      <c r="F323" s="1" t="s">
        <v>16</v>
      </c>
      <c r="G323" s="1" t="s">
        <v>17</v>
      </c>
      <c r="H323">
        <v>289</v>
      </c>
      <c r="I323">
        <v>8</v>
      </c>
      <c r="J323">
        <v>2312</v>
      </c>
    </row>
    <row r="324" spans="1:10" x14ac:dyDescent="0.25">
      <c r="A324">
        <v>323</v>
      </c>
      <c r="B324" s="2">
        <v>43203</v>
      </c>
      <c r="C324">
        <v>19</v>
      </c>
      <c r="D324" s="1" t="s">
        <v>38</v>
      </c>
      <c r="E324" s="1" t="s">
        <v>23</v>
      </c>
      <c r="F324" s="1" t="s">
        <v>24</v>
      </c>
      <c r="G324" s="1" t="s">
        <v>17</v>
      </c>
      <c r="H324">
        <v>289</v>
      </c>
      <c r="I324">
        <v>3</v>
      </c>
      <c r="J324">
        <v>867</v>
      </c>
    </row>
    <row r="325" spans="1:10" x14ac:dyDescent="0.25">
      <c r="A325">
        <v>324</v>
      </c>
      <c r="B325" s="2">
        <v>43204</v>
      </c>
      <c r="C325">
        <v>17</v>
      </c>
      <c r="D325" s="1" t="s">
        <v>28</v>
      </c>
      <c r="E325" s="1" t="s">
        <v>29</v>
      </c>
      <c r="F325" s="1" t="s">
        <v>24</v>
      </c>
      <c r="G325" s="1" t="s">
        <v>21</v>
      </c>
      <c r="H325">
        <v>159</v>
      </c>
      <c r="I325">
        <v>4</v>
      </c>
      <c r="J325">
        <v>636</v>
      </c>
    </row>
    <row r="326" spans="1:10" x14ac:dyDescent="0.25">
      <c r="A326">
        <v>325</v>
      </c>
      <c r="B326" s="2">
        <v>43204</v>
      </c>
      <c r="C326">
        <v>14</v>
      </c>
      <c r="D326" s="1" t="s">
        <v>30</v>
      </c>
      <c r="E326" s="1" t="s">
        <v>41</v>
      </c>
      <c r="F326" s="1" t="s">
        <v>12</v>
      </c>
      <c r="G326" s="1" t="s">
        <v>32</v>
      </c>
      <c r="H326">
        <v>399</v>
      </c>
      <c r="I326">
        <v>3</v>
      </c>
      <c r="J326">
        <v>1197</v>
      </c>
    </row>
    <row r="327" spans="1:10" x14ac:dyDescent="0.25">
      <c r="A327">
        <v>326</v>
      </c>
      <c r="B327" s="2">
        <v>43204</v>
      </c>
      <c r="C327">
        <v>7</v>
      </c>
      <c r="D327" s="1" t="s">
        <v>44</v>
      </c>
      <c r="E327" s="1" t="s">
        <v>19</v>
      </c>
      <c r="F327" s="1" t="s">
        <v>20</v>
      </c>
      <c r="G327" s="1" t="s">
        <v>26</v>
      </c>
      <c r="H327">
        <v>69</v>
      </c>
      <c r="I327">
        <v>2</v>
      </c>
      <c r="J327">
        <v>138</v>
      </c>
    </row>
    <row r="328" spans="1:10" x14ac:dyDescent="0.25">
      <c r="A328">
        <v>327</v>
      </c>
      <c r="B328" s="2">
        <v>43204</v>
      </c>
      <c r="C328">
        <v>9</v>
      </c>
      <c r="D328" s="1" t="s">
        <v>18</v>
      </c>
      <c r="E328" s="1" t="s">
        <v>35</v>
      </c>
      <c r="F328" s="1" t="s">
        <v>20</v>
      </c>
      <c r="G328" s="1" t="s">
        <v>13</v>
      </c>
      <c r="H328">
        <v>199</v>
      </c>
      <c r="I328">
        <v>9</v>
      </c>
      <c r="J328">
        <v>1791</v>
      </c>
    </row>
    <row r="329" spans="1:10" x14ac:dyDescent="0.25">
      <c r="A329">
        <v>328</v>
      </c>
      <c r="B329" s="2">
        <v>43204</v>
      </c>
      <c r="C329">
        <v>8</v>
      </c>
      <c r="D329" s="1" t="s">
        <v>34</v>
      </c>
      <c r="E329" s="1" t="s">
        <v>19</v>
      </c>
      <c r="F329" s="1" t="s">
        <v>20</v>
      </c>
      <c r="G329" s="1" t="s">
        <v>13</v>
      </c>
      <c r="H329">
        <v>199</v>
      </c>
      <c r="I329">
        <v>2</v>
      </c>
      <c r="J329">
        <v>398</v>
      </c>
    </row>
    <row r="330" spans="1:10" x14ac:dyDescent="0.25">
      <c r="A330">
        <v>329</v>
      </c>
      <c r="B330" s="2">
        <v>43204</v>
      </c>
      <c r="C330">
        <v>14</v>
      </c>
      <c r="D330" s="1" t="s">
        <v>30</v>
      </c>
      <c r="E330" s="1" t="s">
        <v>11</v>
      </c>
      <c r="F330" s="1" t="s">
        <v>12</v>
      </c>
      <c r="G330" s="1" t="s">
        <v>17</v>
      </c>
      <c r="H330">
        <v>289</v>
      </c>
      <c r="I330">
        <v>4</v>
      </c>
      <c r="J330">
        <v>1156</v>
      </c>
    </row>
    <row r="331" spans="1:10" x14ac:dyDescent="0.25">
      <c r="A331">
        <v>330</v>
      </c>
      <c r="B331" s="2">
        <v>43204</v>
      </c>
      <c r="C331">
        <v>7</v>
      </c>
      <c r="D331" s="1" t="s">
        <v>44</v>
      </c>
      <c r="E331" s="1" t="s">
        <v>35</v>
      </c>
      <c r="F331" s="1" t="s">
        <v>20</v>
      </c>
      <c r="G331" s="1" t="s">
        <v>32</v>
      </c>
      <c r="H331">
        <v>399</v>
      </c>
      <c r="I331">
        <v>8</v>
      </c>
      <c r="J331">
        <v>3192</v>
      </c>
    </row>
    <row r="332" spans="1:10" x14ac:dyDescent="0.25">
      <c r="A332">
        <v>331</v>
      </c>
      <c r="B332" s="2">
        <v>43204</v>
      </c>
      <c r="C332">
        <v>10</v>
      </c>
      <c r="D332" s="1" t="s">
        <v>39</v>
      </c>
      <c r="E332" s="1" t="s">
        <v>35</v>
      </c>
      <c r="F332" s="1" t="s">
        <v>20</v>
      </c>
      <c r="G332" s="1" t="s">
        <v>32</v>
      </c>
      <c r="H332">
        <v>399</v>
      </c>
      <c r="I332">
        <v>9</v>
      </c>
      <c r="J332">
        <v>3591</v>
      </c>
    </row>
    <row r="333" spans="1:10" x14ac:dyDescent="0.25">
      <c r="A333">
        <v>332</v>
      </c>
      <c r="B333" s="2">
        <v>43204</v>
      </c>
      <c r="C333">
        <v>6</v>
      </c>
      <c r="D333" s="1" t="s">
        <v>36</v>
      </c>
      <c r="E333" s="1" t="s">
        <v>35</v>
      </c>
      <c r="F333" s="1" t="s">
        <v>20</v>
      </c>
      <c r="G333" s="1" t="s">
        <v>13</v>
      </c>
      <c r="H333">
        <v>199</v>
      </c>
      <c r="I333">
        <v>8</v>
      </c>
      <c r="J333">
        <v>1592</v>
      </c>
    </row>
    <row r="334" spans="1:10" x14ac:dyDescent="0.25">
      <c r="A334">
        <v>333</v>
      </c>
      <c r="B334" s="2">
        <v>43204</v>
      </c>
      <c r="C334">
        <v>18</v>
      </c>
      <c r="D334" s="1" t="s">
        <v>22</v>
      </c>
      <c r="E334" s="1" t="s">
        <v>23</v>
      </c>
      <c r="F334" s="1" t="s">
        <v>24</v>
      </c>
      <c r="G334" s="1" t="s">
        <v>32</v>
      </c>
      <c r="H334">
        <v>399</v>
      </c>
      <c r="I334">
        <v>4</v>
      </c>
      <c r="J334">
        <v>1596</v>
      </c>
    </row>
    <row r="335" spans="1:10" x14ac:dyDescent="0.25">
      <c r="A335">
        <v>334</v>
      </c>
      <c r="B335" s="2">
        <v>43205</v>
      </c>
      <c r="C335">
        <v>4</v>
      </c>
      <c r="D335" s="1" t="s">
        <v>37</v>
      </c>
      <c r="E335" s="1" t="s">
        <v>43</v>
      </c>
      <c r="F335" s="1" t="s">
        <v>16</v>
      </c>
      <c r="G335" s="1" t="s">
        <v>17</v>
      </c>
      <c r="H335">
        <v>289</v>
      </c>
      <c r="I335">
        <v>6</v>
      </c>
      <c r="J335">
        <v>1734</v>
      </c>
    </row>
    <row r="336" spans="1:10" x14ac:dyDescent="0.25">
      <c r="A336">
        <v>335</v>
      </c>
      <c r="B336" s="2">
        <v>43205</v>
      </c>
      <c r="C336">
        <v>2</v>
      </c>
      <c r="D336" s="1" t="s">
        <v>45</v>
      </c>
      <c r="E336" s="1" t="s">
        <v>43</v>
      </c>
      <c r="F336" s="1" t="s">
        <v>16</v>
      </c>
      <c r="G336" s="1" t="s">
        <v>26</v>
      </c>
      <c r="H336">
        <v>69</v>
      </c>
      <c r="I336">
        <v>9</v>
      </c>
      <c r="J336">
        <v>621</v>
      </c>
    </row>
    <row r="337" spans="1:10" x14ac:dyDescent="0.25">
      <c r="A337">
        <v>336</v>
      </c>
      <c r="B337" s="2">
        <v>43206</v>
      </c>
      <c r="C337">
        <v>4</v>
      </c>
      <c r="D337" s="1" t="s">
        <v>37</v>
      </c>
      <c r="E337" s="1" t="s">
        <v>15</v>
      </c>
      <c r="F337" s="1" t="s">
        <v>16</v>
      </c>
      <c r="G337" s="1" t="s">
        <v>21</v>
      </c>
      <c r="H337">
        <v>159</v>
      </c>
      <c r="I337">
        <v>9</v>
      </c>
      <c r="J337">
        <v>1431</v>
      </c>
    </row>
    <row r="338" spans="1:10" x14ac:dyDescent="0.25">
      <c r="A338">
        <v>337</v>
      </c>
      <c r="B338" s="2">
        <v>43207</v>
      </c>
      <c r="C338">
        <v>11</v>
      </c>
      <c r="D338" s="1" t="s">
        <v>10</v>
      </c>
      <c r="E338" s="1" t="s">
        <v>41</v>
      </c>
      <c r="F338" s="1" t="s">
        <v>12</v>
      </c>
      <c r="G338" s="1" t="s">
        <v>26</v>
      </c>
      <c r="H338">
        <v>69</v>
      </c>
      <c r="I338">
        <v>8</v>
      </c>
      <c r="J338">
        <v>552</v>
      </c>
    </row>
    <row r="339" spans="1:10" x14ac:dyDescent="0.25">
      <c r="A339">
        <v>338</v>
      </c>
      <c r="B339" s="2">
        <v>43207</v>
      </c>
      <c r="C339">
        <v>13</v>
      </c>
      <c r="D339" s="1" t="s">
        <v>27</v>
      </c>
      <c r="E339" s="1" t="s">
        <v>11</v>
      </c>
      <c r="F339" s="1" t="s">
        <v>12</v>
      </c>
      <c r="G339" s="1" t="s">
        <v>32</v>
      </c>
      <c r="H339">
        <v>399</v>
      </c>
      <c r="I339">
        <v>8</v>
      </c>
      <c r="J339">
        <v>3192</v>
      </c>
    </row>
    <row r="340" spans="1:10" x14ac:dyDescent="0.25">
      <c r="A340">
        <v>339</v>
      </c>
      <c r="B340" s="2">
        <v>43208</v>
      </c>
      <c r="C340">
        <v>8</v>
      </c>
      <c r="D340" s="1" t="s">
        <v>34</v>
      </c>
      <c r="E340" s="1" t="s">
        <v>19</v>
      </c>
      <c r="F340" s="1" t="s">
        <v>20</v>
      </c>
      <c r="G340" s="1" t="s">
        <v>26</v>
      </c>
      <c r="H340">
        <v>69</v>
      </c>
      <c r="I340">
        <v>6</v>
      </c>
      <c r="J340">
        <v>414</v>
      </c>
    </row>
    <row r="341" spans="1:10" x14ac:dyDescent="0.25">
      <c r="A341">
        <v>340</v>
      </c>
      <c r="B341" s="2">
        <v>43209</v>
      </c>
      <c r="C341">
        <v>8</v>
      </c>
      <c r="D341" s="1" t="s">
        <v>34</v>
      </c>
      <c r="E341" s="1" t="s">
        <v>35</v>
      </c>
      <c r="F341" s="1" t="s">
        <v>20</v>
      </c>
      <c r="G341" s="1" t="s">
        <v>21</v>
      </c>
      <c r="H341">
        <v>159</v>
      </c>
      <c r="I341">
        <v>6</v>
      </c>
      <c r="J341">
        <v>954</v>
      </c>
    </row>
    <row r="342" spans="1:10" x14ac:dyDescent="0.25">
      <c r="A342">
        <v>341</v>
      </c>
      <c r="B342" s="2">
        <v>43209</v>
      </c>
      <c r="C342">
        <v>1</v>
      </c>
      <c r="D342" s="1" t="s">
        <v>14</v>
      </c>
      <c r="E342" s="1" t="s">
        <v>15</v>
      </c>
      <c r="F342" s="1" t="s">
        <v>16</v>
      </c>
      <c r="G342" s="1" t="s">
        <v>17</v>
      </c>
      <c r="H342">
        <v>289</v>
      </c>
      <c r="I342">
        <v>3</v>
      </c>
      <c r="J342">
        <v>867</v>
      </c>
    </row>
    <row r="343" spans="1:10" x14ac:dyDescent="0.25">
      <c r="A343">
        <v>342</v>
      </c>
      <c r="B343" s="2">
        <v>43209</v>
      </c>
      <c r="C343">
        <v>19</v>
      </c>
      <c r="D343" s="1" t="s">
        <v>38</v>
      </c>
      <c r="E343" s="1" t="s">
        <v>29</v>
      </c>
      <c r="F343" s="1" t="s">
        <v>24</v>
      </c>
      <c r="G343" s="1" t="s">
        <v>26</v>
      </c>
      <c r="H343">
        <v>69</v>
      </c>
      <c r="I343">
        <v>1</v>
      </c>
      <c r="J343">
        <v>69</v>
      </c>
    </row>
    <row r="344" spans="1:10" x14ac:dyDescent="0.25">
      <c r="A344">
        <v>343</v>
      </c>
      <c r="B344" s="2">
        <v>43209</v>
      </c>
      <c r="C344">
        <v>5</v>
      </c>
      <c r="D344" s="1" t="s">
        <v>40</v>
      </c>
      <c r="E344" s="1" t="s">
        <v>15</v>
      </c>
      <c r="F344" s="1" t="s">
        <v>16</v>
      </c>
      <c r="G344" s="1" t="s">
        <v>21</v>
      </c>
      <c r="H344">
        <v>159</v>
      </c>
      <c r="I344">
        <v>0</v>
      </c>
      <c r="J344">
        <v>0</v>
      </c>
    </row>
    <row r="345" spans="1:10" x14ac:dyDescent="0.25">
      <c r="A345">
        <v>344</v>
      </c>
      <c r="B345" s="2">
        <v>43209</v>
      </c>
      <c r="C345">
        <v>9</v>
      </c>
      <c r="D345" s="1" t="s">
        <v>18</v>
      </c>
      <c r="E345" s="1" t="s">
        <v>19</v>
      </c>
      <c r="F345" s="1" t="s">
        <v>20</v>
      </c>
      <c r="G345" s="1" t="s">
        <v>13</v>
      </c>
      <c r="H345">
        <v>199</v>
      </c>
      <c r="I345">
        <v>6</v>
      </c>
      <c r="J345">
        <v>1194</v>
      </c>
    </row>
    <row r="346" spans="1:10" x14ac:dyDescent="0.25">
      <c r="A346">
        <v>345</v>
      </c>
      <c r="B346" s="2">
        <v>43209</v>
      </c>
      <c r="C346">
        <v>13</v>
      </c>
      <c r="D346" s="1" t="s">
        <v>27</v>
      </c>
      <c r="E346" s="1" t="s">
        <v>11</v>
      </c>
      <c r="F346" s="1" t="s">
        <v>12</v>
      </c>
      <c r="G346" s="1" t="s">
        <v>13</v>
      </c>
      <c r="H346">
        <v>199</v>
      </c>
      <c r="I346">
        <v>2</v>
      </c>
      <c r="J346">
        <v>398</v>
      </c>
    </row>
    <row r="347" spans="1:10" x14ac:dyDescent="0.25">
      <c r="A347">
        <v>346</v>
      </c>
      <c r="B347" s="2">
        <v>43209</v>
      </c>
      <c r="C347">
        <v>17</v>
      </c>
      <c r="D347" s="1" t="s">
        <v>28</v>
      </c>
      <c r="E347" s="1" t="s">
        <v>23</v>
      </c>
      <c r="F347" s="1" t="s">
        <v>24</v>
      </c>
      <c r="G347" s="1" t="s">
        <v>26</v>
      </c>
      <c r="H347">
        <v>69</v>
      </c>
      <c r="I347">
        <v>2</v>
      </c>
      <c r="J347">
        <v>138</v>
      </c>
    </row>
    <row r="348" spans="1:10" x14ac:dyDescent="0.25">
      <c r="A348">
        <v>347</v>
      </c>
      <c r="B348" s="2">
        <v>43209</v>
      </c>
      <c r="C348">
        <v>18</v>
      </c>
      <c r="D348" s="1" t="s">
        <v>22</v>
      </c>
      <c r="E348" s="1" t="s">
        <v>23</v>
      </c>
      <c r="F348" s="1" t="s">
        <v>24</v>
      </c>
      <c r="G348" s="1" t="s">
        <v>13</v>
      </c>
      <c r="H348">
        <v>199</v>
      </c>
      <c r="I348">
        <v>0</v>
      </c>
      <c r="J348">
        <v>0</v>
      </c>
    </row>
    <row r="349" spans="1:10" x14ac:dyDescent="0.25">
      <c r="A349">
        <v>348</v>
      </c>
      <c r="B349" s="2">
        <v>43209</v>
      </c>
      <c r="C349">
        <v>19</v>
      </c>
      <c r="D349" s="1" t="s">
        <v>38</v>
      </c>
      <c r="E349" s="1" t="s">
        <v>23</v>
      </c>
      <c r="F349" s="1" t="s">
        <v>24</v>
      </c>
      <c r="G349" s="1" t="s">
        <v>17</v>
      </c>
      <c r="H349">
        <v>289</v>
      </c>
      <c r="I349">
        <v>1</v>
      </c>
      <c r="J349">
        <v>289</v>
      </c>
    </row>
    <row r="350" spans="1:10" x14ac:dyDescent="0.25">
      <c r="A350">
        <v>349</v>
      </c>
      <c r="B350" s="2">
        <v>43209</v>
      </c>
      <c r="C350">
        <v>13</v>
      </c>
      <c r="D350" s="1" t="s">
        <v>27</v>
      </c>
      <c r="E350" s="1" t="s">
        <v>41</v>
      </c>
      <c r="F350" s="1" t="s">
        <v>12</v>
      </c>
      <c r="G350" s="1" t="s">
        <v>21</v>
      </c>
      <c r="H350">
        <v>159</v>
      </c>
      <c r="I350">
        <v>5</v>
      </c>
      <c r="J350">
        <v>795</v>
      </c>
    </row>
    <row r="351" spans="1:10" x14ac:dyDescent="0.25">
      <c r="A351">
        <v>350</v>
      </c>
      <c r="B351" s="2">
        <v>43209</v>
      </c>
      <c r="C351">
        <v>3</v>
      </c>
      <c r="D351" s="1" t="s">
        <v>33</v>
      </c>
      <c r="E351" s="1" t="s">
        <v>15</v>
      </c>
      <c r="F351" s="1" t="s">
        <v>16</v>
      </c>
      <c r="G351" s="1" t="s">
        <v>32</v>
      </c>
      <c r="H351">
        <v>399</v>
      </c>
      <c r="I351">
        <v>1</v>
      </c>
      <c r="J351">
        <v>399</v>
      </c>
    </row>
    <row r="352" spans="1:10" x14ac:dyDescent="0.25">
      <c r="A352">
        <v>351</v>
      </c>
      <c r="B352" s="2">
        <v>43209</v>
      </c>
      <c r="C352">
        <v>4</v>
      </c>
      <c r="D352" s="1" t="s">
        <v>37</v>
      </c>
      <c r="E352" s="1" t="s">
        <v>43</v>
      </c>
      <c r="F352" s="1" t="s">
        <v>16</v>
      </c>
      <c r="G352" s="1" t="s">
        <v>26</v>
      </c>
      <c r="H352">
        <v>69</v>
      </c>
      <c r="I352">
        <v>6</v>
      </c>
      <c r="J352">
        <v>414</v>
      </c>
    </row>
    <row r="353" spans="1:10" x14ac:dyDescent="0.25">
      <c r="A353">
        <v>352</v>
      </c>
      <c r="B353" s="2">
        <v>43209</v>
      </c>
      <c r="C353">
        <v>10</v>
      </c>
      <c r="D353" s="1" t="s">
        <v>39</v>
      </c>
      <c r="E353" s="1" t="s">
        <v>35</v>
      </c>
      <c r="F353" s="1" t="s">
        <v>20</v>
      </c>
      <c r="G353" s="1" t="s">
        <v>21</v>
      </c>
      <c r="H353">
        <v>159</v>
      </c>
      <c r="I353">
        <v>9</v>
      </c>
      <c r="J353">
        <v>1431</v>
      </c>
    </row>
    <row r="354" spans="1:10" x14ac:dyDescent="0.25">
      <c r="A354">
        <v>353</v>
      </c>
      <c r="B354" s="2">
        <v>43210</v>
      </c>
      <c r="C354">
        <v>4</v>
      </c>
      <c r="D354" s="1" t="s">
        <v>37</v>
      </c>
      <c r="E354" s="1" t="s">
        <v>15</v>
      </c>
      <c r="F354" s="1" t="s">
        <v>16</v>
      </c>
      <c r="G354" s="1" t="s">
        <v>32</v>
      </c>
      <c r="H354">
        <v>399</v>
      </c>
      <c r="I354">
        <v>1</v>
      </c>
      <c r="J354">
        <v>399</v>
      </c>
    </row>
    <row r="355" spans="1:10" x14ac:dyDescent="0.25">
      <c r="A355">
        <v>354</v>
      </c>
      <c r="B355" s="2">
        <v>43210</v>
      </c>
      <c r="C355">
        <v>5</v>
      </c>
      <c r="D355" s="1" t="s">
        <v>40</v>
      </c>
      <c r="E355" s="1" t="s">
        <v>15</v>
      </c>
      <c r="F355" s="1" t="s">
        <v>16</v>
      </c>
      <c r="G355" s="1" t="s">
        <v>26</v>
      </c>
      <c r="H355">
        <v>69</v>
      </c>
      <c r="I355">
        <v>1</v>
      </c>
      <c r="J355">
        <v>69</v>
      </c>
    </row>
    <row r="356" spans="1:10" x14ac:dyDescent="0.25">
      <c r="A356">
        <v>355</v>
      </c>
      <c r="B356" s="2">
        <v>43210</v>
      </c>
      <c r="C356">
        <v>17</v>
      </c>
      <c r="D356" s="1" t="s">
        <v>28</v>
      </c>
      <c r="E356" s="1" t="s">
        <v>23</v>
      </c>
      <c r="F356" s="1" t="s">
        <v>24</v>
      </c>
      <c r="G356" s="1" t="s">
        <v>32</v>
      </c>
      <c r="H356">
        <v>399</v>
      </c>
      <c r="I356">
        <v>6</v>
      </c>
      <c r="J356">
        <v>2394</v>
      </c>
    </row>
    <row r="357" spans="1:10" x14ac:dyDescent="0.25">
      <c r="A357">
        <v>356</v>
      </c>
      <c r="B357" s="2">
        <v>43211</v>
      </c>
      <c r="C357">
        <v>18</v>
      </c>
      <c r="D357" s="1" t="s">
        <v>22</v>
      </c>
      <c r="E357" s="1" t="s">
        <v>29</v>
      </c>
      <c r="F357" s="1" t="s">
        <v>24</v>
      </c>
      <c r="G357" s="1" t="s">
        <v>13</v>
      </c>
      <c r="H357">
        <v>199</v>
      </c>
      <c r="I357">
        <v>8</v>
      </c>
      <c r="J357">
        <v>1592</v>
      </c>
    </row>
    <row r="358" spans="1:10" x14ac:dyDescent="0.25">
      <c r="A358">
        <v>357</v>
      </c>
      <c r="B358" s="2">
        <v>43211</v>
      </c>
      <c r="C358">
        <v>3</v>
      </c>
      <c r="D358" s="1" t="s">
        <v>33</v>
      </c>
      <c r="E358" s="1" t="s">
        <v>43</v>
      </c>
      <c r="F358" s="1" t="s">
        <v>16</v>
      </c>
      <c r="G358" s="1" t="s">
        <v>32</v>
      </c>
      <c r="H358">
        <v>399</v>
      </c>
      <c r="I358">
        <v>2</v>
      </c>
      <c r="J358">
        <v>798</v>
      </c>
    </row>
    <row r="359" spans="1:10" x14ac:dyDescent="0.25">
      <c r="A359">
        <v>358</v>
      </c>
      <c r="B359" s="2">
        <v>43212</v>
      </c>
      <c r="C359">
        <v>2</v>
      </c>
      <c r="D359" s="1" t="s">
        <v>45</v>
      </c>
      <c r="E359" s="1" t="s">
        <v>15</v>
      </c>
      <c r="F359" s="1" t="s">
        <v>16</v>
      </c>
      <c r="G359" s="1" t="s">
        <v>26</v>
      </c>
      <c r="H359">
        <v>69</v>
      </c>
      <c r="I359">
        <v>2</v>
      </c>
      <c r="J359">
        <v>138</v>
      </c>
    </row>
    <row r="360" spans="1:10" x14ac:dyDescent="0.25">
      <c r="A360">
        <v>359</v>
      </c>
      <c r="B360" s="2">
        <v>43212</v>
      </c>
      <c r="C360">
        <v>1</v>
      </c>
      <c r="D360" s="1" t="s">
        <v>14</v>
      </c>
      <c r="E360" s="1" t="s">
        <v>43</v>
      </c>
      <c r="F360" s="1" t="s">
        <v>16</v>
      </c>
      <c r="G360" s="1" t="s">
        <v>32</v>
      </c>
      <c r="H360">
        <v>399</v>
      </c>
      <c r="I360">
        <v>5</v>
      </c>
      <c r="J360">
        <v>1995</v>
      </c>
    </row>
    <row r="361" spans="1:10" x14ac:dyDescent="0.25">
      <c r="A361">
        <v>360</v>
      </c>
      <c r="B361" s="2">
        <v>43212</v>
      </c>
      <c r="C361">
        <v>19</v>
      </c>
      <c r="D361" s="1" t="s">
        <v>38</v>
      </c>
      <c r="E361" s="1" t="s">
        <v>23</v>
      </c>
      <c r="F361" s="1" t="s">
        <v>24</v>
      </c>
      <c r="G361" s="1" t="s">
        <v>13</v>
      </c>
      <c r="H361">
        <v>199</v>
      </c>
      <c r="I361">
        <v>9</v>
      </c>
      <c r="J361">
        <v>1791</v>
      </c>
    </row>
    <row r="362" spans="1:10" x14ac:dyDescent="0.25">
      <c r="A362">
        <v>361</v>
      </c>
      <c r="B362" s="2">
        <v>43212</v>
      </c>
      <c r="C362">
        <v>10</v>
      </c>
      <c r="D362" s="1" t="s">
        <v>39</v>
      </c>
      <c r="E362" s="1" t="s">
        <v>19</v>
      </c>
      <c r="F362" s="1" t="s">
        <v>20</v>
      </c>
      <c r="G362" s="1" t="s">
        <v>26</v>
      </c>
      <c r="H362">
        <v>69</v>
      </c>
      <c r="I362">
        <v>7</v>
      </c>
      <c r="J362">
        <v>483</v>
      </c>
    </row>
    <row r="363" spans="1:10" x14ac:dyDescent="0.25">
      <c r="A363">
        <v>362</v>
      </c>
      <c r="B363" s="2">
        <v>43212</v>
      </c>
      <c r="C363">
        <v>5</v>
      </c>
      <c r="D363" s="1" t="s">
        <v>40</v>
      </c>
      <c r="E363" s="1" t="s">
        <v>15</v>
      </c>
      <c r="F363" s="1" t="s">
        <v>16</v>
      </c>
      <c r="G363" s="1" t="s">
        <v>32</v>
      </c>
      <c r="H363">
        <v>399</v>
      </c>
      <c r="I363">
        <v>2</v>
      </c>
      <c r="J363">
        <v>798</v>
      </c>
    </row>
    <row r="364" spans="1:10" x14ac:dyDescent="0.25">
      <c r="A364">
        <v>363</v>
      </c>
      <c r="B364" s="2">
        <v>43212</v>
      </c>
      <c r="C364">
        <v>5</v>
      </c>
      <c r="D364" s="1" t="s">
        <v>40</v>
      </c>
      <c r="E364" s="1" t="s">
        <v>43</v>
      </c>
      <c r="F364" s="1" t="s">
        <v>16</v>
      </c>
      <c r="G364" s="1" t="s">
        <v>21</v>
      </c>
      <c r="H364">
        <v>159</v>
      </c>
      <c r="I364">
        <v>5</v>
      </c>
      <c r="J364">
        <v>795</v>
      </c>
    </row>
    <row r="365" spans="1:10" x14ac:dyDescent="0.25">
      <c r="A365">
        <v>364</v>
      </c>
      <c r="B365" s="2">
        <v>43212</v>
      </c>
      <c r="C365">
        <v>16</v>
      </c>
      <c r="D365" s="1" t="s">
        <v>25</v>
      </c>
      <c r="E365" s="1" t="s">
        <v>29</v>
      </c>
      <c r="F365" s="1" t="s">
        <v>24</v>
      </c>
      <c r="G365" s="1" t="s">
        <v>21</v>
      </c>
      <c r="H365">
        <v>159</v>
      </c>
      <c r="I365">
        <v>9</v>
      </c>
      <c r="J365">
        <v>1431</v>
      </c>
    </row>
    <row r="366" spans="1:10" x14ac:dyDescent="0.25">
      <c r="A366">
        <v>365</v>
      </c>
      <c r="B366" s="2">
        <v>43213</v>
      </c>
      <c r="C366">
        <v>7</v>
      </c>
      <c r="D366" s="1" t="s">
        <v>44</v>
      </c>
      <c r="E366" s="1" t="s">
        <v>19</v>
      </c>
      <c r="F366" s="1" t="s">
        <v>20</v>
      </c>
      <c r="G366" s="1" t="s">
        <v>17</v>
      </c>
      <c r="H366">
        <v>289</v>
      </c>
      <c r="I366">
        <v>9</v>
      </c>
      <c r="J366">
        <v>2601</v>
      </c>
    </row>
    <row r="367" spans="1:10" x14ac:dyDescent="0.25">
      <c r="A367">
        <v>366</v>
      </c>
      <c r="B367" s="2">
        <v>43213</v>
      </c>
      <c r="C367">
        <v>7</v>
      </c>
      <c r="D367" s="1" t="s">
        <v>44</v>
      </c>
      <c r="E367" s="1" t="s">
        <v>35</v>
      </c>
      <c r="F367" s="1" t="s">
        <v>20</v>
      </c>
      <c r="G367" s="1" t="s">
        <v>26</v>
      </c>
      <c r="H367">
        <v>69</v>
      </c>
      <c r="I367">
        <v>0</v>
      </c>
      <c r="J367">
        <v>0</v>
      </c>
    </row>
    <row r="368" spans="1:10" x14ac:dyDescent="0.25">
      <c r="A368">
        <v>367</v>
      </c>
      <c r="B368" s="2">
        <v>43214</v>
      </c>
      <c r="C368">
        <v>7</v>
      </c>
      <c r="D368" s="1" t="s">
        <v>44</v>
      </c>
      <c r="E368" s="1" t="s">
        <v>19</v>
      </c>
      <c r="F368" s="1" t="s">
        <v>20</v>
      </c>
      <c r="G368" s="1" t="s">
        <v>17</v>
      </c>
      <c r="H368">
        <v>289</v>
      </c>
      <c r="I368">
        <v>2</v>
      </c>
      <c r="J368">
        <v>578</v>
      </c>
    </row>
    <row r="369" spans="1:10" x14ac:dyDescent="0.25">
      <c r="A369">
        <v>368</v>
      </c>
      <c r="B369" s="2">
        <v>43214</v>
      </c>
      <c r="C369">
        <v>8</v>
      </c>
      <c r="D369" s="1" t="s">
        <v>34</v>
      </c>
      <c r="E369" s="1" t="s">
        <v>19</v>
      </c>
      <c r="F369" s="1" t="s">
        <v>20</v>
      </c>
      <c r="G369" s="1" t="s">
        <v>17</v>
      </c>
      <c r="H369">
        <v>289</v>
      </c>
      <c r="I369">
        <v>6</v>
      </c>
      <c r="J369">
        <v>1734</v>
      </c>
    </row>
    <row r="370" spans="1:10" x14ac:dyDescent="0.25">
      <c r="A370">
        <v>369</v>
      </c>
      <c r="B370" s="2">
        <v>43214</v>
      </c>
      <c r="C370">
        <v>6</v>
      </c>
      <c r="D370" s="1" t="s">
        <v>36</v>
      </c>
      <c r="E370" s="1" t="s">
        <v>35</v>
      </c>
      <c r="F370" s="1" t="s">
        <v>20</v>
      </c>
      <c r="G370" s="1" t="s">
        <v>21</v>
      </c>
      <c r="H370">
        <v>159</v>
      </c>
      <c r="I370">
        <v>7</v>
      </c>
      <c r="J370">
        <v>1113</v>
      </c>
    </row>
    <row r="371" spans="1:10" x14ac:dyDescent="0.25">
      <c r="A371">
        <v>370</v>
      </c>
      <c r="B371" s="2">
        <v>43214</v>
      </c>
      <c r="C371">
        <v>15</v>
      </c>
      <c r="D371" s="1" t="s">
        <v>46</v>
      </c>
      <c r="E371" s="1" t="s">
        <v>41</v>
      </c>
      <c r="F371" s="1" t="s">
        <v>12</v>
      </c>
      <c r="G371" s="1" t="s">
        <v>13</v>
      </c>
      <c r="H371">
        <v>199</v>
      </c>
      <c r="I371">
        <v>4</v>
      </c>
      <c r="J371">
        <v>796</v>
      </c>
    </row>
    <row r="372" spans="1:10" x14ac:dyDescent="0.25">
      <c r="A372">
        <v>371</v>
      </c>
      <c r="B372" s="2">
        <v>43214</v>
      </c>
      <c r="C372">
        <v>18</v>
      </c>
      <c r="D372" s="1" t="s">
        <v>22</v>
      </c>
      <c r="E372" s="1" t="s">
        <v>29</v>
      </c>
      <c r="F372" s="1" t="s">
        <v>24</v>
      </c>
      <c r="G372" s="1" t="s">
        <v>21</v>
      </c>
      <c r="H372">
        <v>159</v>
      </c>
      <c r="I372">
        <v>8</v>
      </c>
      <c r="J372">
        <v>1272</v>
      </c>
    </row>
    <row r="373" spans="1:10" x14ac:dyDescent="0.25">
      <c r="A373">
        <v>372</v>
      </c>
      <c r="B373" s="2">
        <v>43214</v>
      </c>
      <c r="C373">
        <v>7</v>
      </c>
      <c r="D373" s="1" t="s">
        <v>44</v>
      </c>
      <c r="E373" s="1" t="s">
        <v>19</v>
      </c>
      <c r="F373" s="1" t="s">
        <v>20</v>
      </c>
      <c r="G373" s="1" t="s">
        <v>17</v>
      </c>
      <c r="H373">
        <v>289</v>
      </c>
      <c r="I373">
        <v>8</v>
      </c>
      <c r="J373">
        <v>2312</v>
      </c>
    </row>
    <row r="374" spans="1:10" x14ac:dyDescent="0.25">
      <c r="A374">
        <v>373</v>
      </c>
      <c r="B374" s="2">
        <v>43214</v>
      </c>
      <c r="C374">
        <v>15</v>
      </c>
      <c r="D374" s="1" t="s">
        <v>46</v>
      </c>
      <c r="E374" s="1" t="s">
        <v>11</v>
      </c>
      <c r="F374" s="1" t="s">
        <v>12</v>
      </c>
      <c r="G374" s="1" t="s">
        <v>13</v>
      </c>
      <c r="H374">
        <v>199</v>
      </c>
      <c r="I374">
        <v>6</v>
      </c>
      <c r="J374">
        <v>1194</v>
      </c>
    </row>
    <row r="375" spans="1:10" x14ac:dyDescent="0.25">
      <c r="A375">
        <v>374</v>
      </c>
      <c r="B375" s="2">
        <v>43215</v>
      </c>
      <c r="C375">
        <v>5</v>
      </c>
      <c r="D375" s="1" t="s">
        <v>40</v>
      </c>
      <c r="E375" s="1" t="s">
        <v>15</v>
      </c>
      <c r="F375" s="1" t="s">
        <v>16</v>
      </c>
      <c r="G375" s="1" t="s">
        <v>32</v>
      </c>
      <c r="H375">
        <v>399</v>
      </c>
      <c r="I375">
        <v>3</v>
      </c>
      <c r="J375">
        <v>1197</v>
      </c>
    </row>
    <row r="376" spans="1:10" x14ac:dyDescent="0.25">
      <c r="A376">
        <v>375</v>
      </c>
      <c r="B376" s="2">
        <v>43215</v>
      </c>
      <c r="C376">
        <v>15</v>
      </c>
      <c r="D376" s="1" t="s">
        <v>46</v>
      </c>
      <c r="E376" s="1" t="s">
        <v>41</v>
      </c>
      <c r="F376" s="1" t="s">
        <v>12</v>
      </c>
      <c r="G376" s="1" t="s">
        <v>21</v>
      </c>
      <c r="H376">
        <v>159</v>
      </c>
      <c r="I376">
        <v>4</v>
      </c>
      <c r="J376">
        <v>636</v>
      </c>
    </row>
    <row r="377" spans="1:10" x14ac:dyDescent="0.25">
      <c r="A377">
        <v>376</v>
      </c>
      <c r="B377" s="2">
        <v>43215</v>
      </c>
      <c r="C377">
        <v>16</v>
      </c>
      <c r="D377" s="1" t="s">
        <v>25</v>
      </c>
      <c r="E377" s="1" t="s">
        <v>29</v>
      </c>
      <c r="F377" s="1" t="s">
        <v>24</v>
      </c>
      <c r="G377" s="1" t="s">
        <v>26</v>
      </c>
      <c r="H377">
        <v>69</v>
      </c>
      <c r="I377">
        <v>3</v>
      </c>
      <c r="J377">
        <v>207</v>
      </c>
    </row>
    <row r="378" spans="1:10" x14ac:dyDescent="0.25">
      <c r="A378">
        <v>377</v>
      </c>
      <c r="B378" s="2">
        <v>43215</v>
      </c>
      <c r="C378">
        <v>12</v>
      </c>
      <c r="D378" s="1" t="s">
        <v>42</v>
      </c>
      <c r="E378" s="1" t="s">
        <v>41</v>
      </c>
      <c r="F378" s="1" t="s">
        <v>12</v>
      </c>
      <c r="G378" s="1" t="s">
        <v>13</v>
      </c>
      <c r="H378">
        <v>199</v>
      </c>
      <c r="I378">
        <v>6</v>
      </c>
      <c r="J378">
        <v>1194</v>
      </c>
    </row>
    <row r="379" spans="1:10" x14ac:dyDescent="0.25">
      <c r="A379">
        <v>378</v>
      </c>
      <c r="B379" s="2">
        <v>43215</v>
      </c>
      <c r="C379">
        <v>11</v>
      </c>
      <c r="D379" s="1" t="s">
        <v>10</v>
      </c>
      <c r="E379" s="1" t="s">
        <v>11</v>
      </c>
      <c r="F379" s="1" t="s">
        <v>12</v>
      </c>
      <c r="G379" s="1" t="s">
        <v>32</v>
      </c>
      <c r="H379">
        <v>399</v>
      </c>
      <c r="I379">
        <v>3</v>
      </c>
      <c r="J379">
        <v>1197</v>
      </c>
    </row>
    <row r="380" spans="1:10" x14ac:dyDescent="0.25">
      <c r="A380">
        <v>379</v>
      </c>
      <c r="B380" s="2">
        <v>43215</v>
      </c>
      <c r="C380">
        <v>15</v>
      </c>
      <c r="D380" s="1" t="s">
        <v>46</v>
      </c>
      <c r="E380" s="1" t="s">
        <v>11</v>
      </c>
      <c r="F380" s="1" t="s">
        <v>12</v>
      </c>
      <c r="G380" s="1" t="s">
        <v>21</v>
      </c>
      <c r="H380">
        <v>159</v>
      </c>
      <c r="I380">
        <v>0</v>
      </c>
      <c r="J380">
        <v>0</v>
      </c>
    </row>
    <row r="381" spans="1:10" x14ac:dyDescent="0.25">
      <c r="A381">
        <v>380</v>
      </c>
      <c r="B381" s="2">
        <v>43216</v>
      </c>
      <c r="C381">
        <v>19</v>
      </c>
      <c r="D381" s="1" t="s">
        <v>38</v>
      </c>
      <c r="E381" s="1" t="s">
        <v>29</v>
      </c>
      <c r="F381" s="1" t="s">
        <v>24</v>
      </c>
      <c r="G381" s="1" t="s">
        <v>21</v>
      </c>
      <c r="H381">
        <v>159</v>
      </c>
      <c r="I381">
        <v>5</v>
      </c>
      <c r="J381">
        <v>795</v>
      </c>
    </row>
    <row r="382" spans="1:10" x14ac:dyDescent="0.25">
      <c r="A382">
        <v>381</v>
      </c>
      <c r="B382" s="2">
        <v>43217</v>
      </c>
      <c r="C382">
        <v>5</v>
      </c>
      <c r="D382" s="1" t="s">
        <v>40</v>
      </c>
      <c r="E382" s="1" t="s">
        <v>15</v>
      </c>
      <c r="F382" s="1" t="s">
        <v>16</v>
      </c>
      <c r="G382" s="1" t="s">
        <v>26</v>
      </c>
      <c r="H382">
        <v>69</v>
      </c>
      <c r="I382">
        <v>5</v>
      </c>
      <c r="J382">
        <v>345</v>
      </c>
    </row>
    <row r="383" spans="1:10" x14ac:dyDescent="0.25">
      <c r="A383">
        <v>382</v>
      </c>
      <c r="B383" s="2">
        <v>43218</v>
      </c>
      <c r="C383">
        <v>7</v>
      </c>
      <c r="D383" s="1" t="s">
        <v>44</v>
      </c>
      <c r="E383" s="1" t="s">
        <v>35</v>
      </c>
      <c r="F383" s="1" t="s">
        <v>20</v>
      </c>
      <c r="G383" s="1" t="s">
        <v>26</v>
      </c>
      <c r="H383">
        <v>69</v>
      </c>
      <c r="I383">
        <v>8</v>
      </c>
      <c r="J383">
        <v>552</v>
      </c>
    </row>
    <row r="384" spans="1:10" x14ac:dyDescent="0.25">
      <c r="A384">
        <v>383</v>
      </c>
      <c r="B384" s="2">
        <v>43218</v>
      </c>
      <c r="C384">
        <v>2</v>
      </c>
      <c r="D384" s="1" t="s">
        <v>45</v>
      </c>
      <c r="E384" s="1" t="s">
        <v>15</v>
      </c>
      <c r="F384" s="1" t="s">
        <v>16</v>
      </c>
      <c r="G384" s="1" t="s">
        <v>21</v>
      </c>
      <c r="H384">
        <v>159</v>
      </c>
      <c r="I384">
        <v>7</v>
      </c>
      <c r="J384">
        <v>1113</v>
      </c>
    </row>
    <row r="385" spans="1:10" x14ac:dyDescent="0.25">
      <c r="A385">
        <v>384</v>
      </c>
      <c r="B385" s="2">
        <v>43218</v>
      </c>
      <c r="C385">
        <v>1</v>
      </c>
      <c r="D385" s="1" t="s">
        <v>14</v>
      </c>
      <c r="E385" s="1" t="s">
        <v>43</v>
      </c>
      <c r="F385" s="1" t="s">
        <v>16</v>
      </c>
      <c r="G385" s="1" t="s">
        <v>21</v>
      </c>
      <c r="H385">
        <v>159</v>
      </c>
      <c r="I385">
        <v>5</v>
      </c>
      <c r="J385">
        <v>795</v>
      </c>
    </row>
    <row r="386" spans="1:10" x14ac:dyDescent="0.25">
      <c r="A386">
        <v>385</v>
      </c>
      <c r="B386" s="2">
        <v>43218</v>
      </c>
      <c r="C386">
        <v>17</v>
      </c>
      <c r="D386" s="1" t="s">
        <v>28</v>
      </c>
      <c r="E386" s="1" t="s">
        <v>29</v>
      </c>
      <c r="F386" s="1" t="s">
        <v>24</v>
      </c>
      <c r="G386" s="1" t="s">
        <v>17</v>
      </c>
      <c r="H386">
        <v>289</v>
      </c>
      <c r="I386">
        <v>3</v>
      </c>
      <c r="J386">
        <v>867</v>
      </c>
    </row>
    <row r="387" spans="1:10" x14ac:dyDescent="0.25">
      <c r="A387">
        <v>386</v>
      </c>
      <c r="B387" s="2">
        <v>43218</v>
      </c>
      <c r="C387">
        <v>3</v>
      </c>
      <c r="D387" s="1" t="s">
        <v>33</v>
      </c>
      <c r="E387" s="1" t="s">
        <v>15</v>
      </c>
      <c r="F387" s="1" t="s">
        <v>16</v>
      </c>
      <c r="G387" s="1" t="s">
        <v>32</v>
      </c>
      <c r="H387">
        <v>399</v>
      </c>
      <c r="I387">
        <v>2</v>
      </c>
      <c r="J387">
        <v>798</v>
      </c>
    </row>
    <row r="388" spans="1:10" x14ac:dyDescent="0.25">
      <c r="A388">
        <v>387</v>
      </c>
      <c r="B388" s="2">
        <v>43218</v>
      </c>
      <c r="C388">
        <v>9</v>
      </c>
      <c r="D388" s="1" t="s">
        <v>18</v>
      </c>
      <c r="E388" s="1" t="s">
        <v>35</v>
      </c>
      <c r="F388" s="1" t="s">
        <v>20</v>
      </c>
      <c r="G388" s="1" t="s">
        <v>21</v>
      </c>
      <c r="H388">
        <v>159</v>
      </c>
      <c r="I388">
        <v>8</v>
      </c>
      <c r="J388">
        <v>1272</v>
      </c>
    </row>
    <row r="389" spans="1:10" x14ac:dyDescent="0.25">
      <c r="A389">
        <v>388</v>
      </c>
      <c r="B389" s="2">
        <v>43218</v>
      </c>
      <c r="C389">
        <v>20</v>
      </c>
      <c r="D389" s="1" t="s">
        <v>31</v>
      </c>
      <c r="E389" s="1" t="s">
        <v>29</v>
      </c>
      <c r="F389" s="1" t="s">
        <v>24</v>
      </c>
      <c r="G389" s="1" t="s">
        <v>26</v>
      </c>
      <c r="H389">
        <v>69</v>
      </c>
      <c r="I389">
        <v>4</v>
      </c>
      <c r="J389">
        <v>276</v>
      </c>
    </row>
    <row r="390" spans="1:10" x14ac:dyDescent="0.25">
      <c r="A390">
        <v>389</v>
      </c>
      <c r="B390" s="2">
        <v>43218</v>
      </c>
      <c r="C390">
        <v>13</v>
      </c>
      <c r="D390" s="1" t="s">
        <v>27</v>
      </c>
      <c r="E390" s="1" t="s">
        <v>41</v>
      </c>
      <c r="F390" s="1" t="s">
        <v>12</v>
      </c>
      <c r="G390" s="1" t="s">
        <v>17</v>
      </c>
      <c r="H390">
        <v>289</v>
      </c>
      <c r="I390">
        <v>3</v>
      </c>
      <c r="J390">
        <v>867</v>
      </c>
    </row>
    <row r="391" spans="1:10" x14ac:dyDescent="0.25">
      <c r="A391">
        <v>390</v>
      </c>
      <c r="B391" s="2">
        <v>43218</v>
      </c>
      <c r="C391">
        <v>1</v>
      </c>
      <c r="D391" s="1" t="s">
        <v>14</v>
      </c>
      <c r="E391" s="1" t="s">
        <v>43</v>
      </c>
      <c r="F391" s="1" t="s">
        <v>16</v>
      </c>
      <c r="G391" s="1" t="s">
        <v>17</v>
      </c>
      <c r="H391">
        <v>289</v>
      </c>
      <c r="I391">
        <v>4</v>
      </c>
      <c r="J391">
        <v>1156</v>
      </c>
    </row>
    <row r="392" spans="1:10" x14ac:dyDescent="0.25">
      <c r="A392">
        <v>391</v>
      </c>
      <c r="B392" s="2">
        <v>43218</v>
      </c>
      <c r="C392">
        <v>10</v>
      </c>
      <c r="D392" s="1" t="s">
        <v>39</v>
      </c>
      <c r="E392" s="1" t="s">
        <v>35</v>
      </c>
      <c r="F392" s="1" t="s">
        <v>20</v>
      </c>
      <c r="G392" s="1" t="s">
        <v>13</v>
      </c>
      <c r="H392">
        <v>199</v>
      </c>
      <c r="I392">
        <v>0</v>
      </c>
      <c r="J392">
        <v>0</v>
      </c>
    </row>
    <row r="393" spans="1:10" x14ac:dyDescent="0.25">
      <c r="A393">
        <v>392</v>
      </c>
      <c r="B393" s="2">
        <v>43219</v>
      </c>
      <c r="C393">
        <v>8</v>
      </c>
      <c r="D393" s="1" t="s">
        <v>34</v>
      </c>
      <c r="E393" s="1" t="s">
        <v>19</v>
      </c>
      <c r="F393" s="1" t="s">
        <v>20</v>
      </c>
      <c r="G393" s="1" t="s">
        <v>17</v>
      </c>
      <c r="H393">
        <v>289</v>
      </c>
      <c r="I393">
        <v>0</v>
      </c>
      <c r="J393">
        <v>0</v>
      </c>
    </row>
    <row r="394" spans="1:10" x14ac:dyDescent="0.25">
      <c r="A394">
        <v>393</v>
      </c>
      <c r="B394" s="2">
        <v>43219</v>
      </c>
      <c r="C394">
        <v>14</v>
      </c>
      <c r="D394" s="1" t="s">
        <v>30</v>
      </c>
      <c r="E394" s="1" t="s">
        <v>41</v>
      </c>
      <c r="F394" s="1" t="s">
        <v>12</v>
      </c>
      <c r="G394" s="1" t="s">
        <v>26</v>
      </c>
      <c r="H394">
        <v>69</v>
      </c>
      <c r="I394">
        <v>7</v>
      </c>
      <c r="J394">
        <v>483</v>
      </c>
    </row>
    <row r="395" spans="1:10" x14ac:dyDescent="0.25">
      <c r="A395">
        <v>394</v>
      </c>
      <c r="B395" s="2">
        <v>43220</v>
      </c>
      <c r="C395">
        <v>18</v>
      </c>
      <c r="D395" s="1" t="s">
        <v>22</v>
      </c>
      <c r="E395" s="1" t="s">
        <v>23</v>
      </c>
      <c r="F395" s="1" t="s">
        <v>24</v>
      </c>
      <c r="G395" s="1" t="s">
        <v>13</v>
      </c>
      <c r="H395">
        <v>199</v>
      </c>
      <c r="I395">
        <v>3</v>
      </c>
      <c r="J395">
        <v>597</v>
      </c>
    </row>
    <row r="396" spans="1:10" x14ac:dyDescent="0.25">
      <c r="A396">
        <v>395</v>
      </c>
      <c r="B396" s="2">
        <v>43221</v>
      </c>
      <c r="C396">
        <v>18</v>
      </c>
      <c r="D396" s="1" t="s">
        <v>22</v>
      </c>
      <c r="E396" s="1" t="s">
        <v>23</v>
      </c>
      <c r="F396" s="1" t="s">
        <v>24</v>
      </c>
      <c r="G396" s="1" t="s">
        <v>26</v>
      </c>
      <c r="H396">
        <v>69</v>
      </c>
      <c r="I396">
        <v>3</v>
      </c>
      <c r="J396">
        <v>207</v>
      </c>
    </row>
    <row r="397" spans="1:10" x14ac:dyDescent="0.25">
      <c r="A397">
        <v>396</v>
      </c>
      <c r="B397" s="2">
        <v>43222</v>
      </c>
      <c r="C397">
        <v>14</v>
      </c>
      <c r="D397" s="1" t="s">
        <v>30</v>
      </c>
      <c r="E397" s="1" t="s">
        <v>41</v>
      </c>
      <c r="F397" s="1" t="s">
        <v>12</v>
      </c>
      <c r="G397" s="1" t="s">
        <v>21</v>
      </c>
      <c r="H397">
        <v>159</v>
      </c>
      <c r="I397">
        <v>5</v>
      </c>
      <c r="J397">
        <v>795</v>
      </c>
    </row>
    <row r="398" spans="1:10" x14ac:dyDescent="0.25">
      <c r="A398">
        <v>397</v>
      </c>
      <c r="B398" s="2">
        <v>43222</v>
      </c>
      <c r="C398">
        <v>19</v>
      </c>
      <c r="D398" s="1" t="s">
        <v>38</v>
      </c>
      <c r="E398" s="1" t="s">
        <v>29</v>
      </c>
      <c r="F398" s="1" t="s">
        <v>24</v>
      </c>
      <c r="G398" s="1" t="s">
        <v>17</v>
      </c>
      <c r="H398">
        <v>289</v>
      </c>
      <c r="I398">
        <v>1</v>
      </c>
      <c r="J398">
        <v>289</v>
      </c>
    </row>
    <row r="399" spans="1:10" x14ac:dyDescent="0.25">
      <c r="A399">
        <v>398</v>
      </c>
      <c r="B399" s="2">
        <v>43223</v>
      </c>
      <c r="C399">
        <v>18</v>
      </c>
      <c r="D399" s="1" t="s">
        <v>22</v>
      </c>
      <c r="E399" s="1" t="s">
        <v>29</v>
      </c>
      <c r="F399" s="1" t="s">
        <v>24</v>
      </c>
      <c r="G399" s="1" t="s">
        <v>21</v>
      </c>
      <c r="H399">
        <v>159</v>
      </c>
      <c r="I399">
        <v>0</v>
      </c>
      <c r="J399">
        <v>0</v>
      </c>
    </row>
    <row r="400" spans="1:10" x14ac:dyDescent="0.25">
      <c r="A400">
        <v>399</v>
      </c>
      <c r="B400" s="2">
        <v>43223</v>
      </c>
      <c r="C400">
        <v>5</v>
      </c>
      <c r="D400" s="1" t="s">
        <v>40</v>
      </c>
      <c r="E400" s="1" t="s">
        <v>43</v>
      </c>
      <c r="F400" s="1" t="s">
        <v>16</v>
      </c>
      <c r="G400" s="1" t="s">
        <v>32</v>
      </c>
      <c r="H400">
        <v>399</v>
      </c>
      <c r="I400">
        <v>7</v>
      </c>
      <c r="J400">
        <v>2793</v>
      </c>
    </row>
    <row r="401" spans="1:10" x14ac:dyDescent="0.25">
      <c r="A401">
        <v>400</v>
      </c>
      <c r="B401" s="2">
        <v>43223</v>
      </c>
      <c r="C401">
        <v>19</v>
      </c>
      <c r="D401" s="1" t="s">
        <v>38</v>
      </c>
      <c r="E401" s="1" t="s">
        <v>23</v>
      </c>
      <c r="F401" s="1" t="s">
        <v>24</v>
      </c>
      <c r="G401" s="1" t="s">
        <v>17</v>
      </c>
      <c r="H401">
        <v>289</v>
      </c>
      <c r="I401">
        <v>6</v>
      </c>
      <c r="J401">
        <v>1734</v>
      </c>
    </row>
    <row r="402" spans="1:10" x14ac:dyDescent="0.25">
      <c r="A402">
        <v>401</v>
      </c>
      <c r="B402" s="2">
        <v>43224</v>
      </c>
      <c r="C402">
        <v>5</v>
      </c>
      <c r="D402" s="1" t="s">
        <v>40</v>
      </c>
      <c r="E402" s="1" t="s">
        <v>15</v>
      </c>
      <c r="F402" s="1" t="s">
        <v>16</v>
      </c>
      <c r="G402" s="1" t="s">
        <v>26</v>
      </c>
      <c r="H402">
        <v>69</v>
      </c>
      <c r="I402">
        <v>0</v>
      </c>
      <c r="J402">
        <v>0</v>
      </c>
    </row>
    <row r="403" spans="1:10" x14ac:dyDescent="0.25">
      <c r="A403">
        <v>402</v>
      </c>
      <c r="B403" s="2">
        <v>43225</v>
      </c>
      <c r="C403">
        <v>16</v>
      </c>
      <c r="D403" s="1" t="s">
        <v>25</v>
      </c>
      <c r="E403" s="1" t="s">
        <v>29</v>
      </c>
      <c r="F403" s="1" t="s">
        <v>24</v>
      </c>
      <c r="G403" s="1" t="s">
        <v>17</v>
      </c>
      <c r="H403">
        <v>289</v>
      </c>
      <c r="I403">
        <v>8</v>
      </c>
      <c r="J403">
        <v>2312</v>
      </c>
    </row>
    <row r="404" spans="1:10" x14ac:dyDescent="0.25">
      <c r="A404">
        <v>403</v>
      </c>
      <c r="B404" s="2">
        <v>43225</v>
      </c>
      <c r="C404">
        <v>12</v>
      </c>
      <c r="D404" s="1" t="s">
        <v>42</v>
      </c>
      <c r="E404" s="1" t="s">
        <v>41</v>
      </c>
      <c r="F404" s="1" t="s">
        <v>12</v>
      </c>
      <c r="G404" s="1" t="s">
        <v>32</v>
      </c>
      <c r="H404">
        <v>399</v>
      </c>
      <c r="I404">
        <v>6</v>
      </c>
      <c r="J404">
        <v>2394</v>
      </c>
    </row>
    <row r="405" spans="1:10" x14ac:dyDescent="0.25">
      <c r="A405">
        <v>404</v>
      </c>
      <c r="B405" s="2">
        <v>43226</v>
      </c>
      <c r="C405">
        <v>5</v>
      </c>
      <c r="D405" s="1" t="s">
        <v>40</v>
      </c>
      <c r="E405" s="1" t="s">
        <v>15</v>
      </c>
      <c r="F405" s="1" t="s">
        <v>16</v>
      </c>
      <c r="G405" s="1" t="s">
        <v>21</v>
      </c>
      <c r="H405">
        <v>159</v>
      </c>
      <c r="I405">
        <v>9</v>
      </c>
      <c r="J405">
        <v>1431</v>
      </c>
    </row>
    <row r="406" spans="1:10" x14ac:dyDescent="0.25">
      <c r="A406">
        <v>405</v>
      </c>
      <c r="B406" s="2">
        <v>43226</v>
      </c>
      <c r="C406">
        <v>1</v>
      </c>
      <c r="D406" s="1" t="s">
        <v>14</v>
      </c>
      <c r="E406" s="1" t="s">
        <v>15</v>
      </c>
      <c r="F406" s="1" t="s">
        <v>16</v>
      </c>
      <c r="G406" s="1" t="s">
        <v>21</v>
      </c>
      <c r="H406">
        <v>159</v>
      </c>
      <c r="I406">
        <v>5</v>
      </c>
      <c r="J406">
        <v>795</v>
      </c>
    </row>
    <row r="407" spans="1:10" x14ac:dyDescent="0.25">
      <c r="A407">
        <v>406</v>
      </c>
      <c r="B407" s="2">
        <v>43226</v>
      </c>
      <c r="C407">
        <v>6</v>
      </c>
      <c r="D407" s="1" t="s">
        <v>36</v>
      </c>
      <c r="E407" s="1" t="s">
        <v>35</v>
      </c>
      <c r="F407" s="1" t="s">
        <v>20</v>
      </c>
      <c r="G407" s="1" t="s">
        <v>21</v>
      </c>
      <c r="H407">
        <v>159</v>
      </c>
      <c r="I407">
        <v>8</v>
      </c>
      <c r="J407">
        <v>1272</v>
      </c>
    </row>
    <row r="408" spans="1:10" x14ac:dyDescent="0.25">
      <c r="A408">
        <v>407</v>
      </c>
      <c r="B408" s="2">
        <v>43226</v>
      </c>
      <c r="C408">
        <v>16</v>
      </c>
      <c r="D408" s="1" t="s">
        <v>25</v>
      </c>
      <c r="E408" s="1" t="s">
        <v>29</v>
      </c>
      <c r="F408" s="1" t="s">
        <v>24</v>
      </c>
      <c r="G408" s="1" t="s">
        <v>26</v>
      </c>
      <c r="H408">
        <v>69</v>
      </c>
      <c r="I408">
        <v>7</v>
      </c>
      <c r="J408">
        <v>483</v>
      </c>
    </row>
    <row r="409" spans="1:10" x14ac:dyDescent="0.25">
      <c r="A409">
        <v>408</v>
      </c>
      <c r="B409" s="2">
        <v>43226</v>
      </c>
      <c r="C409">
        <v>4</v>
      </c>
      <c r="D409" s="1" t="s">
        <v>37</v>
      </c>
      <c r="E409" s="1" t="s">
        <v>43</v>
      </c>
      <c r="F409" s="1" t="s">
        <v>16</v>
      </c>
      <c r="G409" s="1" t="s">
        <v>17</v>
      </c>
      <c r="H409">
        <v>289</v>
      </c>
      <c r="I409">
        <v>6</v>
      </c>
      <c r="J409">
        <v>1734</v>
      </c>
    </row>
    <row r="410" spans="1:10" x14ac:dyDescent="0.25">
      <c r="A410">
        <v>409</v>
      </c>
      <c r="B410" s="2">
        <v>43226</v>
      </c>
      <c r="C410">
        <v>16</v>
      </c>
      <c r="D410" s="1" t="s">
        <v>25</v>
      </c>
      <c r="E410" s="1" t="s">
        <v>23</v>
      </c>
      <c r="F410" s="1" t="s">
        <v>24</v>
      </c>
      <c r="G410" s="1" t="s">
        <v>13</v>
      </c>
      <c r="H410">
        <v>199</v>
      </c>
      <c r="I410">
        <v>3</v>
      </c>
      <c r="J410">
        <v>597</v>
      </c>
    </row>
    <row r="411" spans="1:10" x14ac:dyDescent="0.25">
      <c r="A411">
        <v>410</v>
      </c>
      <c r="B411" s="2">
        <v>43226</v>
      </c>
      <c r="C411">
        <v>16</v>
      </c>
      <c r="D411" s="1" t="s">
        <v>25</v>
      </c>
      <c r="E411" s="1" t="s">
        <v>29</v>
      </c>
      <c r="F411" s="1" t="s">
        <v>24</v>
      </c>
      <c r="G411" s="1" t="s">
        <v>21</v>
      </c>
      <c r="H411">
        <v>159</v>
      </c>
      <c r="I411">
        <v>4</v>
      </c>
      <c r="J411">
        <v>636</v>
      </c>
    </row>
    <row r="412" spans="1:10" x14ac:dyDescent="0.25">
      <c r="A412">
        <v>411</v>
      </c>
      <c r="B412" s="2">
        <v>43226</v>
      </c>
      <c r="C412">
        <v>8</v>
      </c>
      <c r="D412" s="1" t="s">
        <v>34</v>
      </c>
      <c r="E412" s="1" t="s">
        <v>35</v>
      </c>
      <c r="F412" s="1" t="s">
        <v>20</v>
      </c>
      <c r="G412" s="1" t="s">
        <v>21</v>
      </c>
      <c r="H412">
        <v>159</v>
      </c>
      <c r="I412">
        <v>4</v>
      </c>
      <c r="J412">
        <v>636</v>
      </c>
    </row>
    <row r="413" spans="1:10" x14ac:dyDescent="0.25">
      <c r="A413">
        <v>412</v>
      </c>
      <c r="B413" s="2">
        <v>43226</v>
      </c>
      <c r="C413">
        <v>13</v>
      </c>
      <c r="D413" s="1" t="s">
        <v>27</v>
      </c>
      <c r="E413" s="1" t="s">
        <v>11</v>
      </c>
      <c r="F413" s="1" t="s">
        <v>12</v>
      </c>
      <c r="G413" s="1" t="s">
        <v>26</v>
      </c>
      <c r="H413">
        <v>69</v>
      </c>
      <c r="I413">
        <v>7</v>
      </c>
      <c r="J413">
        <v>483</v>
      </c>
    </row>
    <row r="414" spans="1:10" x14ac:dyDescent="0.25">
      <c r="A414">
        <v>413</v>
      </c>
      <c r="B414" s="2">
        <v>43226</v>
      </c>
      <c r="C414">
        <v>3</v>
      </c>
      <c r="D414" s="1" t="s">
        <v>33</v>
      </c>
      <c r="E414" s="1" t="s">
        <v>43</v>
      </c>
      <c r="F414" s="1" t="s">
        <v>16</v>
      </c>
      <c r="G414" s="1" t="s">
        <v>13</v>
      </c>
      <c r="H414">
        <v>199</v>
      </c>
      <c r="I414">
        <v>1</v>
      </c>
      <c r="J414">
        <v>199</v>
      </c>
    </row>
    <row r="415" spans="1:10" x14ac:dyDescent="0.25">
      <c r="A415">
        <v>414</v>
      </c>
      <c r="B415" s="2">
        <v>43227</v>
      </c>
      <c r="C415">
        <v>19</v>
      </c>
      <c r="D415" s="1" t="s">
        <v>38</v>
      </c>
      <c r="E415" s="1" t="s">
        <v>23</v>
      </c>
      <c r="F415" s="1" t="s">
        <v>24</v>
      </c>
      <c r="G415" s="1" t="s">
        <v>26</v>
      </c>
      <c r="H415">
        <v>69</v>
      </c>
      <c r="I415">
        <v>6</v>
      </c>
      <c r="J415">
        <v>414</v>
      </c>
    </row>
    <row r="416" spans="1:10" x14ac:dyDescent="0.25">
      <c r="A416">
        <v>415</v>
      </c>
      <c r="B416" s="2">
        <v>43228</v>
      </c>
      <c r="C416">
        <v>17</v>
      </c>
      <c r="D416" s="1" t="s">
        <v>28</v>
      </c>
      <c r="E416" s="1" t="s">
        <v>29</v>
      </c>
      <c r="F416" s="1" t="s">
        <v>24</v>
      </c>
      <c r="G416" s="1" t="s">
        <v>21</v>
      </c>
      <c r="H416">
        <v>159</v>
      </c>
      <c r="I416">
        <v>7</v>
      </c>
      <c r="J416">
        <v>1113</v>
      </c>
    </row>
    <row r="417" spans="1:10" x14ac:dyDescent="0.25">
      <c r="A417">
        <v>416</v>
      </c>
      <c r="B417" s="2">
        <v>43228</v>
      </c>
      <c r="C417">
        <v>13</v>
      </c>
      <c r="D417" s="1" t="s">
        <v>27</v>
      </c>
      <c r="E417" s="1" t="s">
        <v>11</v>
      </c>
      <c r="F417" s="1" t="s">
        <v>12</v>
      </c>
      <c r="G417" s="1" t="s">
        <v>13</v>
      </c>
      <c r="H417">
        <v>199</v>
      </c>
      <c r="I417">
        <v>1</v>
      </c>
      <c r="J417">
        <v>199</v>
      </c>
    </row>
    <row r="418" spans="1:10" x14ac:dyDescent="0.25">
      <c r="A418">
        <v>417</v>
      </c>
      <c r="B418" s="2">
        <v>43229</v>
      </c>
      <c r="C418">
        <v>2</v>
      </c>
      <c r="D418" s="1" t="s">
        <v>45</v>
      </c>
      <c r="E418" s="1" t="s">
        <v>15</v>
      </c>
      <c r="F418" s="1" t="s">
        <v>16</v>
      </c>
      <c r="G418" s="1" t="s">
        <v>32</v>
      </c>
      <c r="H418">
        <v>399</v>
      </c>
      <c r="I418">
        <v>1</v>
      </c>
      <c r="J418">
        <v>399</v>
      </c>
    </row>
    <row r="419" spans="1:10" x14ac:dyDescent="0.25">
      <c r="A419">
        <v>418</v>
      </c>
      <c r="B419" s="2">
        <v>43230</v>
      </c>
      <c r="C419">
        <v>6</v>
      </c>
      <c r="D419" s="1" t="s">
        <v>36</v>
      </c>
      <c r="E419" s="1" t="s">
        <v>35</v>
      </c>
      <c r="F419" s="1" t="s">
        <v>20</v>
      </c>
      <c r="G419" s="1" t="s">
        <v>21</v>
      </c>
      <c r="H419">
        <v>159</v>
      </c>
      <c r="I419">
        <v>9</v>
      </c>
      <c r="J419">
        <v>1431</v>
      </c>
    </row>
    <row r="420" spans="1:10" x14ac:dyDescent="0.25">
      <c r="A420">
        <v>419</v>
      </c>
      <c r="B420" s="2">
        <v>43230</v>
      </c>
      <c r="C420">
        <v>14</v>
      </c>
      <c r="D420" s="1" t="s">
        <v>30</v>
      </c>
      <c r="E420" s="1" t="s">
        <v>11</v>
      </c>
      <c r="F420" s="1" t="s">
        <v>12</v>
      </c>
      <c r="G420" s="1" t="s">
        <v>13</v>
      </c>
      <c r="H420">
        <v>199</v>
      </c>
      <c r="I420">
        <v>3</v>
      </c>
      <c r="J420">
        <v>597</v>
      </c>
    </row>
    <row r="421" spans="1:10" x14ac:dyDescent="0.25">
      <c r="A421">
        <v>420</v>
      </c>
      <c r="B421" s="2">
        <v>43231</v>
      </c>
      <c r="C421">
        <v>18</v>
      </c>
      <c r="D421" s="1" t="s">
        <v>22</v>
      </c>
      <c r="E421" s="1" t="s">
        <v>29</v>
      </c>
      <c r="F421" s="1" t="s">
        <v>24</v>
      </c>
      <c r="G421" s="1" t="s">
        <v>21</v>
      </c>
      <c r="H421">
        <v>159</v>
      </c>
      <c r="I421">
        <v>9</v>
      </c>
      <c r="J421">
        <v>1431</v>
      </c>
    </row>
    <row r="422" spans="1:10" x14ac:dyDescent="0.25">
      <c r="A422">
        <v>421</v>
      </c>
      <c r="B422" s="2">
        <v>43231</v>
      </c>
      <c r="C422">
        <v>6</v>
      </c>
      <c r="D422" s="1" t="s">
        <v>36</v>
      </c>
      <c r="E422" s="1" t="s">
        <v>35</v>
      </c>
      <c r="F422" s="1" t="s">
        <v>20</v>
      </c>
      <c r="G422" s="1" t="s">
        <v>21</v>
      </c>
      <c r="H422">
        <v>159</v>
      </c>
      <c r="I422">
        <v>4</v>
      </c>
      <c r="J422">
        <v>636</v>
      </c>
    </row>
    <row r="423" spans="1:10" x14ac:dyDescent="0.25">
      <c r="A423">
        <v>422</v>
      </c>
      <c r="B423" s="2">
        <v>43232</v>
      </c>
      <c r="C423">
        <v>4</v>
      </c>
      <c r="D423" s="1" t="s">
        <v>37</v>
      </c>
      <c r="E423" s="1" t="s">
        <v>43</v>
      </c>
      <c r="F423" s="1" t="s">
        <v>16</v>
      </c>
      <c r="G423" s="1" t="s">
        <v>21</v>
      </c>
      <c r="H423">
        <v>159</v>
      </c>
      <c r="I423">
        <v>9</v>
      </c>
      <c r="J423">
        <v>1431</v>
      </c>
    </row>
    <row r="424" spans="1:10" x14ac:dyDescent="0.25">
      <c r="A424">
        <v>423</v>
      </c>
      <c r="B424" s="2">
        <v>43232</v>
      </c>
      <c r="C424">
        <v>5</v>
      </c>
      <c r="D424" s="1" t="s">
        <v>40</v>
      </c>
      <c r="E424" s="1" t="s">
        <v>43</v>
      </c>
      <c r="F424" s="1" t="s">
        <v>16</v>
      </c>
      <c r="G424" s="1" t="s">
        <v>26</v>
      </c>
      <c r="H424">
        <v>69</v>
      </c>
      <c r="I424">
        <v>4</v>
      </c>
      <c r="J424">
        <v>276</v>
      </c>
    </row>
    <row r="425" spans="1:10" x14ac:dyDescent="0.25">
      <c r="A425">
        <v>424</v>
      </c>
      <c r="B425" s="2">
        <v>43232</v>
      </c>
      <c r="C425">
        <v>1</v>
      </c>
      <c r="D425" s="1" t="s">
        <v>14</v>
      </c>
      <c r="E425" s="1" t="s">
        <v>43</v>
      </c>
      <c r="F425" s="1" t="s">
        <v>16</v>
      </c>
      <c r="G425" s="1" t="s">
        <v>26</v>
      </c>
      <c r="H425">
        <v>69</v>
      </c>
      <c r="I425">
        <v>8</v>
      </c>
      <c r="J425">
        <v>552</v>
      </c>
    </row>
    <row r="426" spans="1:10" x14ac:dyDescent="0.25">
      <c r="A426">
        <v>425</v>
      </c>
      <c r="B426" s="2">
        <v>43232</v>
      </c>
      <c r="C426">
        <v>1</v>
      </c>
      <c r="D426" s="1" t="s">
        <v>14</v>
      </c>
      <c r="E426" s="1" t="s">
        <v>43</v>
      </c>
      <c r="F426" s="1" t="s">
        <v>16</v>
      </c>
      <c r="G426" s="1" t="s">
        <v>17</v>
      </c>
      <c r="H426">
        <v>289</v>
      </c>
      <c r="I426">
        <v>7</v>
      </c>
      <c r="J426">
        <v>2023</v>
      </c>
    </row>
    <row r="427" spans="1:10" x14ac:dyDescent="0.25">
      <c r="A427">
        <v>426</v>
      </c>
      <c r="B427" s="2">
        <v>43232</v>
      </c>
      <c r="C427">
        <v>17</v>
      </c>
      <c r="D427" s="1" t="s">
        <v>28</v>
      </c>
      <c r="E427" s="1" t="s">
        <v>29</v>
      </c>
      <c r="F427" s="1" t="s">
        <v>24</v>
      </c>
      <c r="G427" s="1" t="s">
        <v>13</v>
      </c>
      <c r="H427">
        <v>199</v>
      </c>
      <c r="I427">
        <v>8</v>
      </c>
      <c r="J427">
        <v>1592</v>
      </c>
    </row>
    <row r="428" spans="1:10" x14ac:dyDescent="0.25">
      <c r="A428">
        <v>427</v>
      </c>
      <c r="B428" s="2">
        <v>43233</v>
      </c>
      <c r="C428">
        <v>5</v>
      </c>
      <c r="D428" s="1" t="s">
        <v>40</v>
      </c>
      <c r="E428" s="1" t="s">
        <v>15</v>
      </c>
      <c r="F428" s="1" t="s">
        <v>16</v>
      </c>
      <c r="G428" s="1" t="s">
        <v>13</v>
      </c>
      <c r="H428">
        <v>199</v>
      </c>
      <c r="I428">
        <v>6</v>
      </c>
      <c r="J428">
        <v>1194</v>
      </c>
    </row>
    <row r="429" spans="1:10" x14ac:dyDescent="0.25">
      <c r="A429">
        <v>428</v>
      </c>
      <c r="B429" s="2">
        <v>43233</v>
      </c>
      <c r="C429">
        <v>13</v>
      </c>
      <c r="D429" s="1" t="s">
        <v>27</v>
      </c>
      <c r="E429" s="1" t="s">
        <v>41</v>
      </c>
      <c r="F429" s="1" t="s">
        <v>12</v>
      </c>
      <c r="G429" s="1" t="s">
        <v>26</v>
      </c>
      <c r="H429">
        <v>69</v>
      </c>
      <c r="I429">
        <v>3</v>
      </c>
      <c r="J429">
        <v>207</v>
      </c>
    </row>
    <row r="430" spans="1:10" x14ac:dyDescent="0.25">
      <c r="A430">
        <v>429</v>
      </c>
      <c r="B430" s="2">
        <v>43234</v>
      </c>
      <c r="C430">
        <v>18</v>
      </c>
      <c r="D430" s="1" t="s">
        <v>22</v>
      </c>
      <c r="E430" s="1" t="s">
        <v>29</v>
      </c>
      <c r="F430" s="1" t="s">
        <v>24</v>
      </c>
      <c r="G430" s="1" t="s">
        <v>26</v>
      </c>
      <c r="H430">
        <v>69</v>
      </c>
      <c r="I430">
        <v>9</v>
      </c>
      <c r="J430">
        <v>621</v>
      </c>
    </row>
    <row r="431" spans="1:10" x14ac:dyDescent="0.25">
      <c r="A431">
        <v>430</v>
      </c>
      <c r="B431" s="2">
        <v>43235</v>
      </c>
      <c r="C431">
        <v>16</v>
      </c>
      <c r="D431" s="1" t="s">
        <v>25</v>
      </c>
      <c r="E431" s="1" t="s">
        <v>29</v>
      </c>
      <c r="F431" s="1" t="s">
        <v>24</v>
      </c>
      <c r="G431" s="1" t="s">
        <v>17</v>
      </c>
      <c r="H431">
        <v>289</v>
      </c>
      <c r="I431">
        <v>7</v>
      </c>
      <c r="J431">
        <v>2023</v>
      </c>
    </row>
    <row r="432" spans="1:10" x14ac:dyDescent="0.25">
      <c r="A432">
        <v>431</v>
      </c>
      <c r="B432" s="2">
        <v>43235</v>
      </c>
      <c r="C432">
        <v>4</v>
      </c>
      <c r="D432" s="1" t="s">
        <v>37</v>
      </c>
      <c r="E432" s="1" t="s">
        <v>43</v>
      </c>
      <c r="F432" s="1" t="s">
        <v>16</v>
      </c>
      <c r="G432" s="1" t="s">
        <v>17</v>
      </c>
      <c r="H432">
        <v>289</v>
      </c>
      <c r="I432">
        <v>6</v>
      </c>
      <c r="J432">
        <v>1734</v>
      </c>
    </row>
    <row r="433" spans="1:10" x14ac:dyDescent="0.25">
      <c r="A433">
        <v>432</v>
      </c>
      <c r="B433" s="2">
        <v>43235</v>
      </c>
      <c r="C433">
        <v>2</v>
      </c>
      <c r="D433" s="1" t="s">
        <v>45</v>
      </c>
      <c r="E433" s="1" t="s">
        <v>15</v>
      </c>
      <c r="F433" s="1" t="s">
        <v>16</v>
      </c>
      <c r="G433" s="1" t="s">
        <v>32</v>
      </c>
      <c r="H433">
        <v>399</v>
      </c>
      <c r="I433">
        <v>3</v>
      </c>
      <c r="J433">
        <v>1197</v>
      </c>
    </row>
    <row r="434" spans="1:10" x14ac:dyDescent="0.25">
      <c r="A434">
        <v>433</v>
      </c>
      <c r="B434" s="2">
        <v>43235</v>
      </c>
      <c r="C434">
        <v>3</v>
      </c>
      <c r="D434" s="1" t="s">
        <v>33</v>
      </c>
      <c r="E434" s="1" t="s">
        <v>15</v>
      </c>
      <c r="F434" s="1" t="s">
        <v>16</v>
      </c>
      <c r="G434" s="1" t="s">
        <v>17</v>
      </c>
      <c r="H434">
        <v>289</v>
      </c>
      <c r="I434">
        <v>0</v>
      </c>
      <c r="J434">
        <v>0</v>
      </c>
    </row>
    <row r="435" spans="1:10" x14ac:dyDescent="0.25">
      <c r="A435">
        <v>434</v>
      </c>
      <c r="B435" s="2">
        <v>43235</v>
      </c>
      <c r="C435">
        <v>9</v>
      </c>
      <c r="D435" s="1" t="s">
        <v>18</v>
      </c>
      <c r="E435" s="1" t="s">
        <v>19</v>
      </c>
      <c r="F435" s="1" t="s">
        <v>20</v>
      </c>
      <c r="G435" s="1" t="s">
        <v>17</v>
      </c>
      <c r="H435">
        <v>289</v>
      </c>
      <c r="I435">
        <v>5</v>
      </c>
      <c r="J435">
        <v>1445</v>
      </c>
    </row>
    <row r="436" spans="1:10" x14ac:dyDescent="0.25">
      <c r="A436">
        <v>435</v>
      </c>
      <c r="B436" s="2">
        <v>43235</v>
      </c>
      <c r="C436">
        <v>8</v>
      </c>
      <c r="D436" s="1" t="s">
        <v>34</v>
      </c>
      <c r="E436" s="1" t="s">
        <v>35</v>
      </c>
      <c r="F436" s="1" t="s">
        <v>20</v>
      </c>
      <c r="G436" s="1" t="s">
        <v>17</v>
      </c>
      <c r="H436">
        <v>289</v>
      </c>
      <c r="I436">
        <v>5</v>
      </c>
      <c r="J436">
        <v>1445</v>
      </c>
    </row>
    <row r="437" spans="1:10" x14ac:dyDescent="0.25">
      <c r="A437">
        <v>436</v>
      </c>
      <c r="B437" s="2">
        <v>43235</v>
      </c>
      <c r="C437">
        <v>17</v>
      </c>
      <c r="D437" s="1" t="s">
        <v>28</v>
      </c>
      <c r="E437" s="1" t="s">
        <v>29</v>
      </c>
      <c r="F437" s="1" t="s">
        <v>24</v>
      </c>
      <c r="G437" s="1" t="s">
        <v>13</v>
      </c>
      <c r="H437">
        <v>199</v>
      </c>
      <c r="I437">
        <v>0</v>
      </c>
      <c r="J437">
        <v>0</v>
      </c>
    </row>
    <row r="438" spans="1:10" x14ac:dyDescent="0.25">
      <c r="A438">
        <v>437</v>
      </c>
      <c r="B438" s="2">
        <v>43235</v>
      </c>
      <c r="C438">
        <v>2</v>
      </c>
      <c r="D438" s="1" t="s">
        <v>45</v>
      </c>
      <c r="E438" s="1" t="s">
        <v>43</v>
      </c>
      <c r="F438" s="1" t="s">
        <v>16</v>
      </c>
      <c r="G438" s="1" t="s">
        <v>26</v>
      </c>
      <c r="H438">
        <v>69</v>
      </c>
      <c r="I438">
        <v>7</v>
      </c>
      <c r="J438">
        <v>483</v>
      </c>
    </row>
    <row r="439" spans="1:10" x14ac:dyDescent="0.25">
      <c r="A439">
        <v>438</v>
      </c>
      <c r="B439" s="2">
        <v>43235</v>
      </c>
      <c r="C439">
        <v>2</v>
      </c>
      <c r="D439" s="1" t="s">
        <v>45</v>
      </c>
      <c r="E439" s="1" t="s">
        <v>43</v>
      </c>
      <c r="F439" s="1" t="s">
        <v>16</v>
      </c>
      <c r="G439" s="1" t="s">
        <v>26</v>
      </c>
      <c r="H439">
        <v>69</v>
      </c>
      <c r="I439">
        <v>6</v>
      </c>
      <c r="J439">
        <v>414</v>
      </c>
    </row>
    <row r="440" spans="1:10" x14ac:dyDescent="0.25">
      <c r="A440">
        <v>439</v>
      </c>
      <c r="B440" s="2">
        <v>43235</v>
      </c>
      <c r="C440">
        <v>16</v>
      </c>
      <c r="D440" s="1" t="s">
        <v>25</v>
      </c>
      <c r="E440" s="1" t="s">
        <v>29</v>
      </c>
      <c r="F440" s="1" t="s">
        <v>24</v>
      </c>
      <c r="G440" s="1" t="s">
        <v>21</v>
      </c>
      <c r="H440">
        <v>159</v>
      </c>
      <c r="I440">
        <v>1</v>
      </c>
      <c r="J440">
        <v>159</v>
      </c>
    </row>
    <row r="441" spans="1:10" x14ac:dyDescent="0.25">
      <c r="A441">
        <v>440</v>
      </c>
      <c r="B441" s="2">
        <v>43235</v>
      </c>
      <c r="C441">
        <v>19</v>
      </c>
      <c r="D441" s="1" t="s">
        <v>38</v>
      </c>
      <c r="E441" s="1" t="s">
        <v>29</v>
      </c>
      <c r="F441" s="1" t="s">
        <v>24</v>
      </c>
      <c r="G441" s="1" t="s">
        <v>26</v>
      </c>
      <c r="H441">
        <v>69</v>
      </c>
      <c r="I441">
        <v>8</v>
      </c>
      <c r="J441">
        <v>552</v>
      </c>
    </row>
    <row r="442" spans="1:10" x14ac:dyDescent="0.25">
      <c r="A442">
        <v>441</v>
      </c>
      <c r="B442" s="2">
        <v>43235</v>
      </c>
      <c r="C442">
        <v>18</v>
      </c>
      <c r="D442" s="1" t="s">
        <v>22</v>
      </c>
      <c r="E442" s="1" t="s">
        <v>29</v>
      </c>
      <c r="F442" s="1" t="s">
        <v>24</v>
      </c>
      <c r="G442" s="1" t="s">
        <v>13</v>
      </c>
      <c r="H442">
        <v>199</v>
      </c>
      <c r="I442">
        <v>6</v>
      </c>
      <c r="J442">
        <v>1194</v>
      </c>
    </row>
    <row r="443" spans="1:10" x14ac:dyDescent="0.25">
      <c r="A443">
        <v>442</v>
      </c>
      <c r="B443" s="2">
        <v>43235</v>
      </c>
      <c r="C443">
        <v>1</v>
      </c>
      <c r="D443" s="1" t="s">
        <v>14</v>
      </c>
      <c r="E443" s="1" t="s">
        <v>15</v>
      </c>
      <c r="F443" s="1" t="s">
        <v>16</v>
      </c>
      <c r="G443" s="1" t="s">
        <v>32</v>
      </c>
      <c r="H443">
        <v>399</v>
      </c>
      <c r="I443">
        <v>1</v>
      </c>
      <c r="J443">
        <v>399</v>
      </c>
    </row>
    <row r="444" spans="1:10" x14ac:dyDescent="0.25">
      <c r="A444">
        <v>443</v>
      </c>
      <c r="B444" s="2">
        <v>43235</v>
      </c>
      <c r="C444">
        <v>14</v>
      </c>
      <c r="D444" s="1" t="s">
        <v>30</v>
      </c>
      <c r="E444" s="1" t="s">
        <v>11</v>
      </c>
      <c r="F444" s="1" t="s">
        <v>12</v>
      </c>
      <c r="G444" s="1" t="s">
        <v>26</v>
      </c>
      <c r="H444">
        <v>69</v>
      </c>
      <c r="I444">
        <v>6</v>
      </c>
      <c r="J444">
        <v>414</v>
      </c>
    </row>
    <row r="445" spans="1:10" x14ac:dyDescent="0.25">
      <c r="A445">
        <v>444</v>
      </c>
      <c r="B445" s="2">
        <v>43236</v>
      </c>
      <c r="C445">
        <v>17</v>
      </c>
      <c r="D445" s="1" t="s">
        <v>28</v>
      </c>
      <c r="E445" s="1" t="s">
        <v>29</v>
      </c>
      <c r="F445" s="1" t="s">
        <v>24</v>
      </c>
      <c r="G445" s="1" t="s">
        <v>26</v>
      </c>
      <c r="H445">
        <v>69</v>
      </c>
      <c r="I445">
        <v>7</v>
      </c>
      <c r="J445">
        <v>483</v>
      </c>
    </row>
    <row r="446" spans="1:10" x14ac:dyDescent="0.25">
      <c r="A446">
        <v>445</v>
      </c>
      <c r="B446" s="2">
        <v>43236</v>
      </c>
      <c r="C446">
        <v>9</v>
      </c>
      <c r="D446" s="1" t="s">
        <v>18</v>
      </c>
      <c r="E446" s="1" t="s">
        <v>35</v>
      </c>
      <c r="F446" s="1" t="s">
        <v>20</v>
      </c>
      <c r="G446" s="1" t="s">
        <v>13</v>
      </c>
      <c r="H446">
        <v>199</v>
      </c>
      <c r="I446">
        <v>2</v>
      </c>
      <c r="J446">
        <v>398</v>
      </c>
    </row>
    <row r="447" spans="1:10" x14ac:dyDescent="0.25">
      <c r="A447">
        <v>446</v>
      </c>
      <c r="B447" s="2">
        <v>43236</v>
      </c>
      <c r="C447">
        <v>18</v>
      </c>
      <c r="D447" s="1" t="s">
        <v>22</v>
      </c>
      <c r="E447" s="1" t="s">
        <v>29</v>
      </c>
      <c r="F447" s="1" t="s">
        <v>24</v>
      </c>
      <c r="G447" s="1" t="s">
        <v>26</v>
      </c>
      <c r="H447">
        <v>69</v>
      </c>
      <c r="I447">
        <v>7</v>
      </c>
      <c r="J447">
        <v>483</v>
      </c>
    </row>
    <row r="448" spans="1:10" x14ac:dyDescent="0.25">
      <c r="A448">
        <v>447</v>
      </c>
      <c r="B448" s="2">
        <v>43236</v>
      </c>
      <c r="C448">
        <v>16</v>
      </c>
      <c r="D448" s="1" t="s">
        <v>25</v>
      </c>
      <c r="E448" s="1" t="s">
        <v>29</v>
      </c>
      <c r="F448" s="1" t="s">
        <v>24</v>
      </c>
      <c r="G448" s="1" t="s">
        <v>32</v>
      </c>
      <c r="H448">
        <v>399</v>
      </c>
      <c r="I448">
        <v>5</v>
      </c>
      <c r="J448">
        <v>1995</v>
      </c>
    </row>
    <row r="449" spans="1:10" x14ac:dyDescent="0.25">
      <c r="A449">
        <v>448</v>
      </c>
      <c r="B449" s="2">
        <v>43236</v>
      </c>
      <c r="C449">
        <v>10</v>
      </c>
      <c r="D449" s="1" t="s">
        <v>39</v>
      </c>
      <c r="E449" s="1" t="s">
        <v>19</v>
      </c>
      <c r="F449" s="1" t="s">
        <v>20</v>
      </c>
      <c r="G449" s="1" t="s">
        <v>21</v>
      </c>
      <c r="H449">
        <v>159</v>
      </c>
      <c r="I449">
        <v>1</v>
      </c>
      <c r="J449">
        <v>159</v>
      </c>
    </row>
    <row r="450" spans="1:10" x14ac:dyDescent="0.25">
      <c r="A450">
        <v>449</v>
      </c>
      <c r="B450" s="2">
        <v>43236</v>
      </c>
      <c r="C450">
        <v>10</v>
      </c>
      <c r="D450" s="1" t="s">
        <v>39</v>
      </c>
      <c r="E450" s="1" t="s">
        <v>19</v>
      </c>
      <c r="F450" s="1" t="s">
        <v>20</v>
      </c>
      <c r="G450" s="1" t="s">
        <v>17</v>
      </c>
      <c r="H450">
        <v>289</v>
      </c>
      <c r="I450">
        <v>6</v>
      </c>
      <c r="J450">
        <v>1734</v>
      </c>
    </row>
    <row r="451" spans="1:10" x14ac:dyDescent="0.25">
      <c r="A451">
        <v>450</v>
      </c>
      <c r="B451" s="2">
        <v>43236</v>
      </c>
      <c r="C451">
        <v>5</v>
      </c>
      <c r="D451" s="1" t="s">
        <v>40</v>
      </c>
      <c r="E451" s="1" t="s">
        <v>43</v>
      </c>
      <c r="F451" s="1" t="s">
        <v>16</v>
      </c>
      <c r="G451" s="1" t="s">
        <v>17</v>
      </c>
      <c r="H451">
        <v>289</v>
      </c>
      <c r="I451">
        <v>8</v>
      </c>
      <c r="J451">
        <v>2312</v>
      </c>
    </row>
    <row r="452" spans="1:10" x14ac:dyDescent="0.25">
      <c r="A452">
        <v>451</v>
      </c>
      <c r="B452" s="2">
        <v>43236</v>
      </c>
      <c r="C452">
        <v>10</v>
      </c>
      <c r="D452" s="1" t="s">
        <v>39</v>
      </c>
      <c r="E452" s="1" t="s">
        <v>19</v>
      </c>
      <c r="F452" s="1" t="s">
        <v>20</v>
      </c>
      <c r="G452" s="1" t="s">
        <v>26</v>
      </c>
      <c r="H452">
        <v>69</v>
      </c>
      <c r="I452">
        <v>7</v>
      </c>
      <c r="J452">
        <v>483</v>
      </c>
    </row>
    <row r="453" spans="1:10" x14ac:dyDescent="0.25">
      <c r="A453">
        <v>452</v>
      </c>
      <c r="B453" s="2">
        <v>43236</v>
      </c>
      <c r="C453">
        <v>7</v>
      </c>
      <c r="D453" s="1" t="s">
        <v>44</v>
      </c>
      <c r="E453" s="1" t="s">
        <v>35</v>
      </c>
      <c r="F453" s="1" t="s">
        <v>20</v>
      </c>
      <c r="G453" s="1" t="s">
        <v>26</v>
      </c>
      <c r="H453">
        <v>69</v>
      </c>
      <c r="I453">
        <v>3</v>
      </c>
      <c r="J453">
        <v>207</v>
      </c>
    </row>
    <row r="454" spans="1:10" x14ac:dyDescent="0.25">
      <c r="A454">
        <v>453</v>
      </c>
      <c r="B454" s="2">
        <v>43236</v>
      </c>
      <c r="C454">
        <v>6</v>
      </c>
      <c r="D454" s="1" t="s">
        <v>36</v>
      </c>
      <c r="E454" s="1" t="s">
        <v>35</v>
      </c>
      <c r="F454" s="1" t="s">
        <v>20</v>
      </c>
      <c r="G454" s="1" t="s">
        <v>32</v>
      </c>
      <c r="H454">
        <v>399</v>
      </c>
      <c r="I454">
        <v>3</v>
      </c>
      <c r="J454">
        <v>1197</v>
      </c>
    </row>
    <row r="455" spans="1:10" x14ac:dyDescent="0.25">
      <c r="A455">
        <v>454</v>
      </c>
      <c r="B455" s="2">
        <v>43236</v>
      </c>
      <c r="C455">
        <v>13</v>
      </c>
      <c r="D455" s="1" t="s">
        <v>27</v>
      </c>
      <c r="E455" s="1" t="s">
        <v>11</v>
      </c>
      <c r="F455" s="1" t="s">
        <v>12</v>
      </c>
      <c r="G455" s="1" t="s">
        <v>21</v>
      </c>
      <c r="H455">
        <v>159</v>
      </c>
      <c r="I455">
        <v>8</v>
      </c>
      <c r="J455">
        <v>1272</v>
      </c>
    </row>
    <row r="456" spans="1:10" x14ac:dyDescent="0.25">
      <c r="A456">
        <v>455</v>
      </c>
      <c r="B456" s="2">
        <v>43237</v>
      </c>
      <c r="C456">
        <v>14</v>
      </c>
      <c r="D456" s="1" t="s">
        <v>30</v>
      </c>
      <c r="E456" s="1" t="s">
        <v>41</v>
      </c>
      <c r="F456" s="1" t="s">
        <v>12</v>
      </c>
      <c r="G456" s="1" t="s">
        <v>26</v>
      </c>
      <c r="H456">
        <v>69</v>
      </c>
      <c r="I456">
        <v>9</v>
      </c>
      <c r="J456">
        <v>621</v>
      </c>
    </row>
    <row r="457" spans="1:10" x14ac:dyDescent="0.25">
      <c r="A457">
        <v>456</v>
      </c>
      <c r="B457" s="2">
        <v>43237</v>
      </c>
      <c r="C457">
        <v>3</v>
      </c>
      <c r="D457" s="1" t="s">
        <v>33</v>
      </c>
      <c r="E457" s="1" t="s">
        <v>15</v>
      </c>
      <c r="F457" s="1" t="s">
        <v>16</v>
      </c>
      <c r="G457" s="1" t="s">
        <v>32</v>
      </c>
      <c r="H457">
        <v>399</v>
      </c>
      <c r="I457">
        <v>7</v>
      </c>
      <c r="J457">
        <v>2793</v>
      </c>
    </row>
    <row r="458" spans="1:10" x14ac:dyDescent="0.25">
      <c r="A458">
        <v>457</v>
      </c>
      <c r="B458" s="2">
        <v>43237</v>
      </c>
      <c r="C458">
        <v>3</v>
      </c>
      <c r="D458" s="1" t="s">
        <v>33</v>
      </c>
      <c r="E458" s="1" t="s">
        <v>15</v>
      </c>
      <c r="F458" s="1" t="s">
        <v>16</v>
      </c>
      <c r="G458" s="1" t="s">
        <v>21</v>
      </c>
      <c r="H458">
        <v>159</v>
      </c>
      <c r="I458">
        <v>9</v>
      </c>
      <c r="J458">
        <v>1431</v>
      </c>
    </row>
    <row r="459" spans="1:10" x14ac:dyDescent="0.25">
      <c r="A459">
        <v>458</v>
      </c>
      <c r="B459" s="2">
        <v>43237</v>
      </c>
      <c r="C459">
        <v>12</v>
      </c>
      <c r="D459" s="1" t="s">
        <v>42</v>
      </c>
      <c r="E459" s="1" t="s">
        <v>41</v>
      </c>
      <c r="F459" s="1" t="s">
        <v>12</v>
      </c>
      <c r="G459" s="1" t="s">
        <v>13</v>
      </c>
      <c r="H459">
        <v>199</v>
      </c>
      <c r="I459">
        <v>3</v>
      </c>
      <c r="J459">
        <v>597</v>
      </c>
    </row>
    <row r="460" spans="1:10" x14ac:dyDescent="0.25">
      <c r="A460">
        <v>459</v>
      </c>
      <c r="B460" s="2">
        <v>43237</v>
      </c>
      <c r="C460">
        <v>5</v>
      </c>
      <c r="D460" s="1" t="s">
        <v>40</v>
      </c>
      <c r="E460" s="1" t="s">
        <v>43</v>
      </c>
      <c r="F460" s="1" t="s">
        <v>16</v>
      </c>
      <c r="G460" s="1" t="s">
        <v>21</v>
      </c>
      <c r="H460">
        <v>159</v>
      </c>
      <c r="I460">
        <v>1</v>
      </c>
      <c r="J460">
        <v>159</v>
      </c>
    </row>
    <row r="461" spans="1:10" x14ac:dyDescent="0.25">
      <c r="A461">
        <v>460</v>
      </c>
      <c r="B461" s="2">
        <v>43238</v>
      </c>
      <c r="C461">
        <v>11</v>
      </c>
      <c r="D461" s="1" t="s">
        <v>10</v>
      </c>
      <c r="E461" s="1" t="s">
        <v>41</v>
      </c>
      <c r="F461" s="1" t="s">
        <v>12</v>
      </c>
      <c r="G461" s="1" t="s">
        <v>21</v>
      </c>
      <c r="H461">
        <v>159</v>
      </c>
      <c r="I461">
        <v>4</v>
      </c>
      <c r="J461">
        <v>636</v>
      </c>
    </row>
    <row r="462" spans="1:10" x14ac:dyDescent="0.25">
      <c r="A462">
        <v>461</v>
      </c>
      <c r="B462" s="2">
        <v>43238</v>
      </c>
      <c r="C462">
        <v>7</v>
      </c>
      <c r="D462" s="1" t="s">
        <v>44</v>
      </c>
      <c r="E462" s="1" t="s">
        <v>35</v>
      </c>
      <c r="F462" s="1" t="s">
        <v>20</v>
      </c>
      <c r="G462" s="1" t="s">
        <v>32</v>
      </c>
      <c r="H462">
        <v>399</v>
      </c>
      <c r="I462">
        <v>0</v>
      </c>
      <c r="J462">
        <v>0</v>
      </c>
    </row>
    <row r="463" spans="1:10" x14ac:dyDescent="0.25">
      <c r="A463">
        <v>462</v>
      </c>
      <c r="B463" s="2">
        <v>43238</v>
      </c>
      <c r="C463">
        <v>1</v>
      </c>
      <c r="D463" s="1" t="s">
        <v>14</v>
      </c>
      <c r="E463" s="1" t="s">
        <v>15</v>
      </c>
      <c r="F463" s="1" t="s">
        <v>16</v>
      </c>
      <c r="G463" s="1" t="s">
        <v>32</v>
      </c>
      <c r="H463">
        <v>399</v>
      </c>
      <c r="I463">
        <v>3</v>
      </c>
      <c r="J463">
        <v>1197</v>
      </c>
    </row>
    <row r="464" spans="1:10" x14ac:dyDescent="0.25">
      <c r="A464">
        <v>463</v>
      </c>
      <c r="B464" s="2">
        <v>43239</v>
      </c>
      <c r="C464">
        <v>10</v>
      </c>
      <c r="D464" s="1" t="s">
        <v>39</v>
      </c>
      <c r="E464" s="1" t="s">
        <v>19</v>
      </c>
      <c r="F464" s="1" t="s">
        <v>20</v>
      </c>
      <c r="G464" s="1" t="s">
        <v>32</v>
      </c>
      <c r="H464">
        <v>399</v>
      </c>
      <c r="I464">
        <v>9</v>
      </c>
      <c r="J464">
        <v>3591</v>
      </c>
    </row>
    <row r="465" spans="1:10" x14ac:dyDescent="0.25">
      <c r="A465">
        <v>464</v>
      </c>
      <c r="B465" s="2">
        <v>43239</v>
      </c>
      <c r="C465">
        <v>4</v>
      </c>
      <c r="D465" s="1" t="s">
        <v>37</v>
      </c>
      <c r="E465" s="1" t="s">
        <v>43</v>
      </c>
      <c r="F465" s="1" t="s">
        <v>16</v>
      </c>
      <c r="G465" s="1" t="s">
        <v>17</v>
      </c>
      <c r="H465">
        <v>289</v>
      </c>
      <c r="I465">
        <v>2</v>
      </c>
      <c r="J465">
        <v>578</v>
      </c>
    </row>
    <row r="466" spans="1:10" x14ac:dyDescent="0.25">
      <c r="A466">
        <v>465</v>
      </c>
      <c r="B466" s="2">
        <v>43239</v>
      </c>
      <c r="C466">
        <v>11</v>
      </c>
      <c r="D466" s="1" t="s">
        <v>10</v>
      </c>
      <c r="E466" s="1" t="s">
        <v>41</v>
      </c>
      <c r="F466" s="1" t="s">
        <v>12</v>
      </c>
      <c r="G466" s="1" t="s">
        <v>21</v>
      </c>
      <c r="H466">
        <v>159</v>
      </c>
      <c r="I466">
        <v>9</v>
      </c>
      <c r="J466">
        <v>1431</v>
      </c>
    </row>
    <row r="467" spans="1:10" x14ac:dyDescent="0.25">
      <c r="A467">
        <v>466</v>
      </c>
      <c r="B467" s="2">
        <v>43239</v>
      </c>
      <c r="C467">
        <v>2</v>
      </c>
      <c r="D467" s="1" t="s">
        <v>45</v>
      </c>
      <c r="E467" s="1" t="s">
        <v>15</v>
      </c>
      <c r="F467" s="1" t="s">
        <v>16</v>
      </c>
      <c r="G467" s="1" t="s">
        <v>21</v>
      </c>
      <c r="H467">
        <v>159</v>
      </c>
      <c r="I467">
        <v>3</v>
      </c>
      <c r="J467">
        <v>477</v>
      </c>
    </row>
    <row r="468" spans="1:10" x14ac:dyDescent="0.25">
      <c r="A468">
        <v>467</v>
      </c>
      <c r="B468" s="2">
        <v>43239</v>
      </c>
      <c r="C468">
        <v>4</v>
      </c>
      <c r="D468" s="1" t="s">
        <v>37</v>
      </c>
      <c r="E468" s="1" t="s">
        <v>15</v>
      </c>
      <c r="F468" s="1" t="s">
        <v>16</v>
      </c>
      <c r="G468" s="1" t="s">
        <v>13</v>
      </c>
      <c r="H468">
        <v>199</v>
      </c>
      <c r="I468">
        <v>0</v>
      </c>
      <c r="J468">
        <v>0</v>
      </c>
    </row>
    <row r="469" spans="1:10" x14ac:dyDescent="0.25">
      <c r="A469">
        <v>468</v>
      </c>
      <c r="B469" s="2">
        <v>43239</v>
      </c>
      <c r="C469">
        <v>18</v>
      </c>
      <c r="D469" s="1" t="s">
        <v>22</v>
      </c>
      <c r="E469" s="1" t="s">
        <v>29</v>
      </c>
      <c r="F469" s="1" t="s">
        <v>24</v>
      </c>
      <c r="G469" s="1" t="s">
        <v>21</v>
      </c>
      <c r="H469">
        <v>159</v>
      </c>
      <c r="I469">
        <v>9</v>
      </c>
      <c r="J469">
        <v>1431</v>
      </c>
    </row>
    <row r="470" spans="1:10" x14ac:dyDescent="0.25">
      <c r="A470">
        <v>469</v>
      </c>
      <c r="B470" s="2">
        <v>43240</v>
      </c>
      <c r="C470">
        <v>2</v>
      </c>
      <c r="D470" s="1" t="s">
        <v>45</v>
      </c>
      <c r="E470" s="1" t="s">
        <v>15</v>
      </c>
      <c r="F470" s="1" t="s">
        <v>16</v>
      </c>
      <c r="G470" s="1" t="s">
        <v>17</v>
      </c>
      <c r="H470">
        <v>289</v>
      </c>
      <c r="I470">
        <v>1</v>
      </c>
      <c r="J470">
        <v>289</v>
      </c>
    </row>
    <row r="471" spans="1:10" x14ac:dyDescent="0.25">
      <c r="A471">
        <v>470</v>
      </c>
      <c r="B471" s="2">
        <v>43240</v>
      </c>
      <c r="C471">
        <v>14</v>
      </c>
      <c r="D471" s="1" t="s">
        <v>30</v>
      </c>
      <c r="E471" s="1" t="s">
        <v>11</v>
      </c>
      <c r="F471" s="1" t="s">
        <v>12</v>
      </c>
      <c r="G471" s="1" t="s">
        <v>32</v>
      </c>
      <c r="H471">
        <v>399</v>
      </c>
      <c r="I471">
        <v>9</v>
      </c>
      <c r="J471">
        <v>3591</v>
      </c>
    </row>
    <row r="472" spans="1:10" x14ac:dyDescent="0.25">
      <c r="A472">
        <v>471</v>
      </c>
      <c r="B472" s="2">
        <v>43241</v>
      </c>
      <c r="C472">
        <v>5</v>
      </c>
      <c r="D472" s="1" t="s">
        <v>40</v>
      </c>
      <c r="E472" s="1" t="s">
        <v>43</v>
      </c>
      <c r="F472" s="1" t="s">
        <v>16</v>
      </c>
      <c r="G472" s="1" t="s">
        <v>17</v>
      </c>
      <c r="H472">
        <v>289</v>
      </c>
      <c r="I472">
        <v>4</v>
      </c>
      <c r="J472">
        <v>1156</v>
      </c>
    </row>
    <row r="473" spans="1:10" x14ac:dyDescent="0.25">
      <c r="A473">
        <v>472</v>
      </c>
      <c r="B473" s="2">
        <v>43242</v>
      </c>
      <c r="C473">
        <v>5</v>
      </c>
      <c r="D473" s="1" t="s">
        <v>40</v>
      </c>
      <c r="E473" s="1" t="s">
        <v>15</v>
      </c>
      <c r="F473" s="1" t="s">
        <v>16</v>
      </c>
      <c r="G473" s="1" t="s">
        <v>32</v>
      </c>
      <c r="H473">
        <v>399</v>
      </c>
      <c r="I473">
        <v>3</v>
      </c>
      <c r="J473">
        <v>1197</v>
      </c>
    </row>
    <row r="474" spans="1:10" x14ac:dyDescent="0.25">
      <c r="A474">
        <v>473</v>
      </c>
      <c r="B474" s="2">
        <v>43243</v>
      </c>
      <c r="C474">
        <v>13</v>
      </c>
      <c r="D474" s="1" t="s">
        <v>27</v>
      </c>
      <c r="E474" s="1" t="s">
        <v>11</v>
      </c>
      <c r="F474" s="1" t="s">
        <v>12</v>
      </c>
      <c r="G474" s="1" t="s">
        <v>17</v>
      </c>
      <c r="H474">
        <v>289</v>
      </c>
      <c r="I474">
        <v>8</v>
      </c>
      <c r="J474">
        <v>2312</v>
      </c>
    </row>
    <row r="475" spans="1:10" x14ac:dyDescent="0.25">
      <c r="A475">
        <v>474</v>
      </c>
      <c r="B475" s="2">
        <v>43243</v>
      </c>
      <c r="C475">
        <v>18</v>
      </c>
      <c r="D475" s="1" t="s">
        <v>22</v>
      </c>
      <c r="E475" s="1" t="s">
        <v>29</v>
      </c>
      <c r="F475" s="1" t="s">
        <v>24</v>
      </c>
      <c r="G475" s="1" t="s">
        <v>32</v>
      </c>
      <c r="H475">
        <v>399</v>
      </c>
      <c r="I475">
        <v>3</v>
      </c>
      <c r="J475">
        <v>1197</v>
      </c>
    </row>
    <row r="476" spans="1:10" x14ac:dyDescent="0.25">
      <c r="A476">
        <v>475</v>
      </c>
      <c r="B476" s="2">
        <v>43243</v>
      </c>
      <c r="C476">
        <v>13</v>
      </c>
      <c r="D476" s="1" t="s">
        <v>27</v>
      </c>
      <c r="E476" s="1" t="s">
        <v>11</v>
      </c>
      <c r="F476" s="1" t="s">
        <v>12</v>
      </c>
      <c r="G476" s="1" t="s">
        <v>13</v>
      </c>
      <c r="H476">
        <v>199</v>
      </c>
      <c r="I476">
        <v>2</v>
      </c>
      <c r="J476">
        <v>398</v>
      </c>
    </row>
    <row r="477" spans="1:10" x14ac:dyDescent="0.25">
      <c r="A477">
        <v>476</v>
      </c>
      <c r="B477" s="2">
        <v>43243</v>
      </c>
      <c r="C477">
        <v>8</v>
      </c>
      <c r="D477" s="1" t="s">
        <v>34</v>
      </c>
      <c r="E477" s="1" t="s">
        <v>19</v>
      </c>
      <c r="F477" s="1" t="s">
        <v>20</v>
      </c>
      <c r="G477" s="1" t="s">
        <v>21</v>
      </c>
      <c r="H477">
        <v>159</v>
      </c>
      <c r="I477">
        <v>3</v>
      </c>
      <c r="J477">
        <v>477</v>
      </c>
    </row>
    <row r="478" spans="1:10" x14ac:dyDescent="0.25">
      <c r="A478">
        <v>477</v>
      </c>
      <c r="B478" s="2">
        <v>43243</v>
      </c>
      <c r="C478">
        <v>7</v>
      </c>
      <c r="D478" s="1" t="s">
        <v>44</v>
      </c>
      <c r="E478" s="1" t="s">
        <v>19</v>
      </c>
      <c r="F478" s="1" t="s">
        <v>20</v>
      </c>
      <c r="G478" s="1" t="s">
        <v>17</v>
      </c>
      <c r="H478">
        <v>289</v>
      </c>
      <c r="I478">
        <v>5</v>
      </c>
      <c r="J478">
        <v>1445</v>
      </c>
    </row>
    <row r="479" spans="1:10" x14ac:dyDescent="0.25">
      <c r="A479">
        <v>478</v>
      </c>
      <c r="B479" s="2">
        <v>43243</v>
      </c>
      <c r="C479">
        <v>6</v>
      </c>
      <c r="D479" s="1" t="s">
        <v>36</v>
      </c>
      <c r="E479" s="1" t="s">
        <v>19</v>
      </c>
      <c r="F479" s="1" t="s">
        <v>20</v>
      </c>
      <c r="G479" s="1" t="s">
        <v>21</v>
      </c>
      <c r="H479">
        <v>159</v>
      </c>
      <c r="I479">
        <v>3</v>
      </c>
      <c r="J479">
        <v>477</v>
      </c>
    </row>
    <row r="480" spans="1:10" x14ac:dyDescent="0.25">
      <c r="A480">
        <v>479</v>
      </c>
      <c r="B480" s="2">
        <v>43243</v>
      </c>
      <c r="C480">
        <v>7</v>
      </c>
      <c r="D480" s="1" t="s">
        <v>44</v>
      </c>
      <c r="E480" s="1" t="s">
        <v>19</v>
      </c>
      <c r="F480" s="1" t="s">
        <v>20</v>
      </c>
      <c r="G480" s="1" t="s">
        <v>21</v>
      </c>
      <c r="H480">
        <v>159</v>
      </c>
      <c r="I480">
        <v>2</v>
      </c>
      <c r="J480">
        <v>318</v>
      </c>
    </row>
    <row r="481" spans="1:10" x14ac:dyDescent="0.25">
      <c r="A481">
        <v>480</v>
      </c>
      <c r="B481" s="2">
        <v>43243</v>
      </c>
      <c r="C481">
        <v>18</v>
      </c>
      <c r="D481" s="1" t="s">
        <v>22</v>
      </c>
      <c r="E481" s="1" t="s">
        <v>23</v>
      </c>
      <c r="F481" s="1" t="s">
        <v>24</v>
      </c>
      <c r="G481" s="1" t="s">
        <v>26</v>
      </c>
      <c r="H481">
        <v>69</v>
      </c>
      <c r="I481">
        <v>9</v>
      </c>
      <c r="J481">
        <v>621</v>
      </c>
    </row>
    <row r="482" spans="1:10" x14ac:dyDescent="0.25">
      <c r="A482">
        <v>481</v>
      </c>
      <c r="B482" s="2">
        <v>43244</v>
      </c>
      <c r="C482">
        <v>17</v>
      </c>
      <c r="D482" s="1" t="s">
        <v>28</v>
      </c>
      <c r="E482" s="1" t="s">
        <v>23</v>
      </c>
      <c r="F482" s="1" t="s">
        <v>24</v>
      </c>
      <c r="G482" s="1" t="s">
        <v>17</v>
      </c>
      <c r="H482">
        <v>289</v>
      </c>
      <c r="I482">
        <v>3</v>
      </c>
      <c r="J482">
        <v>867</v>
      </c>
    </row>
    <row r="483" spans="1:10" x14ac:dyDescent="0.25">
      <c r="A483">
        <v>482</v>
      </c>
      <c r="B483" s="2">
        <v>43244</v>
      </c>
      <c r="C483">
        <v>11</v>
      </c>
      <c r="D483" s="1" t="s">
        <v>10</v>
      </c>
      <c r="E483" s="1" t="s">
        <v>11</v>
      </c>
      <c r="F483" s="1" t="s">
        <v>12</v>
      </c>
      <c r="G483" s="1" t="s">
        <v>26</v>
      </c>
      <c r="H483">
        <v>69</v>
      </c>
      <c r="I483">
        <v>6</v>
      </c>
      <c r="J483">
        <v>414</v>
      </c>
    </row>
    <row r="484" spans="1:10" x14ac:dyDescent="0.25">
      <c r="A484">
        <v>483</v>
      </c>
      <c r="B484" s="2">
        <v>43244</v>
      </c>
      <c r="C484">
        <v>16</v>
      </c>
      <c r="D484" s="1" t="s">
        <v>25</v>
      </c>
      <c r="E484" s="1" t="s">
        <v>23</v>
      </c>
      <c r="F484" s="1" t="s">
        <v>24</v>
      </c>
      <c r="G484" s="1" t="s">
        <v>26</v>
      </c>
      <c r="H484">
        <v>69</v>
      </c>
      <c r="I484">
        <v>6</v>
      </c>
      <c r="J484">
        <v>414</v>
      </c>
    </row>
    <row r="485" spans="1:10" x14ac:dyDescent="0.25">
      <c r="A485">
        <v>484</v>
      </c>
      <c r="B485" s="2">
        <v>43244</v>
      </c>
      <c r="C485">
        <v>4</v>
      </c>
      <c r="D485" s="1" t="s">
        <v>37</v>
      </c>
      <c r="E485" s="1" t="s">
        <v>43</v>
      </c>
      <c r="F485" s="1" t="s">
        <v>16</v>
      </c>
      <c r="G485" s="1" t="s">
        <v>13</v>
      </c>
      <c r="H485">
        <v>199</v>
      </c>
      <c r="I485">
        <v>4</v>
      </c>
      <c r="J485">
        <v>796</v>
      </c>
    </row>
    <row r="486" spans="1:10" x14ac:dyDescent="0.25">
      <c r="A486">
        <v>485</v>
      </c>
      <c r="B486" s="2">
        <v>43245</v>
      </c>
      <c r="C486">
        <v>16</v>
      </c>
      <c r="D486" s="1" t="s">
        <v>25</v>
      </c>
      <c r="E486" s="1" t="s">
        <v>23</v>
      </c>
      <c r="F486" s="1" t="s">
        <v>24</v>
      </c>
      <c r="G486" s="1" t="s">
        <v>13</v>
      </c>
      <c r="H486">
        <v>199</v>
      </c>
      <c r="I486">
        <v>7</v>
      </c>
      <c r="J486">
        <v>1393</v>
      </c>
    </row>
    <row r="487" spans="1:10" x14ac:dyDescent="0.25">
      <c r="A487">
        <v>486</v>
      </c>
      <c r="B487" s="2">
        <v>43245</v>
      </c>
      <c r="C487">
        <v>8</v>
      </c>
      <c r="D487" s="1" t="s">
        <v>34</v>
      </c>
      <c r="E487" s="1" t="s">
        <v>19</v>
      </c>
      <c r="F487" s="1" t="s">
        <v>20</v>
      </c>
      <c r="G487" s="1" t="s">
        <v>21</v>
      </c>
      <c r="H487">
        <v>159</v>
      </c>
      <c r="I487">
        <v>4</v>
      </c>
      <c r="J487">
        <v>636</v>
      </c>
    </row>
    <row r="488" spans="1:10" x14ac:dyDescent="0.25">
      <c r="A488">
        <v>487</v>
      </c>
      <c r="B488" s="2">
        <v>43245</v>
      </c>
      <c r="C488">
        <v>4</v>
      </c>
      <c r="D488" s="1" t="s">
        <v>37</v>
      </c>
      <c r="E488" s="1" t="s">
        <v>43</v>
      </c>
      <c r="F488" s="1" t="s">
        <v>16</v>
      </c>
      <c r="G488" s="1" t="s">
        <v>17</v>
      </c>
      <c r="H488">
        <v>289</v>
      </c>
      <c r="I488">
        <v>4</v>
      </c>
      <c r="J488">
        <v>1156</v>
      </c>
    </row>
    <row r="489" spans="1:10" x14ac:dyDescent="0.25">
      <c r="A489">
        <v>488</v>
      </c>
      <c r="B489" s="2">
        <v>43245</v>
      </c>
      <c r="C489">
        <v>20</v>
      </c>
      <c r="D489" s="1" t="s">
        <v>31</v>
      </c>
      <c r="E489" s="1" t="s">
        <v>23</v>
      </c>
      <c r="F489" s="1" t="s">
        <v>24</v>
      </c>
      <c r="G489" s="1" t="s">
        <v>21</v>
      </c>
      <c r="H489">
        <v>159</v>
      </c>
      <c r="I489">
        <v>2</v>
      </c>
      <c r="J489">
        <v>318</v>
      </c>
    </row>
    <row r="490" spans="1:10" x14ac:dyDescent="0.25">
      <c r="A490">
        <v>489</v>
      </c>
      <c r="B490" s="2">
        <v>43245</v>
      </c>
      <c r="C490">
        <v>13</v>
      </c>
      <c r="D490" s="1" t="s">
        <v>27</v>
      </c>
      <c r="E490" s="1" t="s">
        <v>11</v>
      </c>
      <c r="F490" s="1" t="s">
        <v>12</v>
      </c>
      <c r="G490" s="1" t="s">
        <v>21</v>
      </c>
      <c r="H490">
        <v>159</v>
      </c>
      <c r="I490">
        <v>7</v>
      </c>
      <c r="J490">
        <v>1113</v>
      </c>
    </row>
    <row r="491" spans="1:10" x14ac:dyDescent="0.25">
      <c r="A491">
        <v>490</v>
      </c>
      <c r="B491" s="2">
        <v>43245</v>
      </c>
      <c r="C491">
        <v>13</v>
      </c>
      <c r="D491" s="1" t="s">
        <v>27</v>
      </c>
      <c r="E491" s="1" t="s">
        <v>11</v>
      </c>
      <c r="F491" s="1" t="s">
        <v>12</v>
      </c>
      <c r="G491" s="1" t="s">
        <v>21</v>
      </c>
      <c r="H491">
        <v>159</v>
      </c>
      <c r="I491">
        <v>4</v>
      </c>
      <c r="J491">
        <v>636</v>
      </c>
    </row>
    <row r="492" spans="1:10" x14ac:dyDescent="0.25">
      <c r="A492">
        <v>491</v>
      </c>
      <c r="B492" s="2">
        <v>43245</v>
      </c>
      <c r="C492">
        <v>17</v>
      </c>
      <c r="D492" s="1" t="s">
        <v>28</v>
      </c>
      <c r="E492" s="1" t="s">
        <v>29</v>
      </c>
      <c r="F492" s="1" t="s">
        <v>24</v>
      </c>
      <c r="G492" s="1" t="s">
        <v>26</v>
      </c>
      <c r="H492">
        <v>69</v>
      </c>
      <c r="I492">
        <v>3</v>
      </c>
      <c r="J492">
        <v>207</v>
      </c>
    </row>
    <row r="493" spans="1:10" x14ac:dyDescent="0.25">
      <c r="A493">
        <v>492</v>
      </c>
      <c r="B493" s="2">
        <v>43245</v>
      </c>
      <c r="C493">
        <v>3</v>
      </c>
      <c r="D493" s="1" t="s">
        <v>33</v>
      </c>
      <c r="E493" s="1" t="s">
        <v>15</v>
      </c>
      <c r="F493" s="1" t="s">
        <v>16</v>
      </c>
      <c r="G493" s="1" t="s">
        <v>17</v>
      </c>
      <c r="H493">
        <v>289</v>
      </c>
      <c r="I493">
        <v>6</v>
      </c>
      <c r="J493">
        <v>1734</v>
      </c>
    </row>
    <row r="494" spans="1:10" x14ac:dyDescent="0.25">
      <c r="A494">
        <v>493</v>
      </c>
      <c r="B494" s="2">
        <v>43246</v>
      </c>
      <c r="C494">
        <v>9</v>
      </c>
      <c r="D494" s="1" t="s">
        <v>18</v>
      </c>
      <c r="E494" s="1" t="s">
        <v>35</v>
      </c>
      <c r="F494" s="1" t="s">
        <v>20</v>
      </c>
      <c r="G494" s="1" t="s">
        <v>32</v>
      </c>
      <c r="H494">
        <v>399</v>
      </c>
      <c r="I494">
        <v>2</v>
      </c>
      <c r="J494">
        <v>798</v>
      </c>
    </row>
    <row r="495" spans="1:10" x14ac:dyDescent="0.25">
      <c r="A495">
        <v>494</v>
      </c>
      <c r="B495" s="2">
        <v>43246</v>
      </c>
      <c r="C495">
        <v>16</v>
      </c>
      <c r="D495" s="1" t="s">
        <v>25</v>
      </c>
      <c r="E495" s="1" t="s">
        <v>29</v>
      </c>
      <c r="F495" s="1" t="s">
        <v>24</v>
      </c>
      <c r="G495" s="1" t="s">
        <v>21</v>
      </c>
      <c r="H495">
        <v>159</v>
      </c>
      <c r="I495">
        <v>9</v>
      </c>
      <c r="J495">
        <v>1431</v>
      </c>
    </row>
    <row r="496" spans="1:10" x14ac:dyDescent="0.25">
      <c r="A496">
        <v>495</v>
      </c>
      <c r="B496" s="2">
        <v>43246</v>
      </c>
      <c r="C496">
        <v>13</v>
      </c>
      <c r="D496" s="1" t="s">
        <v>27</v>
      </c>
      <c r="E496" s="1" t="s">
        <v>11</v>
      </c>
      <c r="F496" s="1" t="s">
        <v>12</v>
      </c>
      <c r="G496" s="1" t="s">
        <v>13</v>
      </c>
      <c r="H496">
        <v>199</v>
      </c>
      <c r="I496">
        <v>5</v>
      </c>
      <c r="J496">
        <v>995</v>
      </c>
    </row>
    <row r="497" spans="1:10" x14ac:dyDescent="0.25">
      <c r="A497">
        <v>496</v>
      </c>
      <c r="B497" s="2">
        <v>43246</v>
      </c>
      <c r="C497">
        <v>9</v>
      </c>
      <c r="D497" s="1" t="s">
        <v>18</v>
      </c>
      <c r="E497" s="1" t="s">
        <v>19</v>
      </c>
      <c r="F497" s="1" t="s">
        <v>20</v>
      </c>
      <c r="G497" s="1" t="s">
        <v>17</v>
      </c>
      <c r="H497">
        <v>289</v>
      </c>
      <c r="I497">
        <v>6</v>
      </c>
      <c r="J497">
        <v>1734</v>
      </c>
    </row>
    <row r="498" spans="1:10" x14ac:dyDescent="0.25">
      <c r="A498">
        <v>497</v>
      </c>
      <c r="B498" s="2">
        <v>43246</v>
      </c>
      <c r="C498">
        <v>4</v>
      </c>
      <c r="D498" s="1" t="s">
        <v>37</v>
      </c>
      <c r="E498" s="1" t="s">
        <v>43</v>
      </c>
      <c r="F498" s="1" t="s">
        <v>16</v>
      </c>
      <c r="G498" s="1" t="s">
        <v>17</v>
      </c>
      <c r="H498">
        <v>289</v>
      </c>
      <c r="I498">
        <v>1</v>
      </c>
      <c r="J498">
        <v>289</v>
      </c>
    </row>
    <row r="499" spans="1:10" x14ac:dyDescent="0.25">
      <c r="A499">
        <v>498</v>
      </c>
      <c r="B499" s="2">
        <v>43246</v>
      </c>
      <c r="C499">
        <v>8</v>
      </c>
      <c r="D499" s="1" t="s">
        <v>34</v>
      </c>
      <c r="E499" s="1" t="s">
        <v>35</v>
      </c>
      <c r="F499" s="1" t="s">
        <v>20</v>
      </c>
      <c r="G499" s="1" t="s">
        <v>26</v>
      </c>
      <c r="H499">
        <v>69</v>
      </c>
      <c r="I499">
        <v>8</v>
      </c>
      <c r="J499">
        <v>552</v>
      </c>
    </row>
    <row r="500" spans="1:10" x14ac:dyDescent="0.25">
      <c r="A500">
        <v>499</v>
      </c>
      <c r="B500" s="2">
        <v>43246</v>
      </c>
      <c r="C500">
        <v>18</v>
      </c>
      <c r="D500" s="1" t="s">
        <v>22</v>
      </c>
      <c r="E500" s="1" t="s">
        <v>23</v>
      </c>
      <c r="F500" s="1" t="s">
        <v>24</v>
      </c>
      <c r="G500" s="1" t="s">
        <v>13</v>
      </c>
      <c r="H500">
        <v>199</v>
      </c>
      <c r="I500">
        <v>8</v>
      </c>
      <c r="J500">
        <v>1592</v>
      </c>
    </row>
    <row r="501" spans="1:10" x14ac:dyDescent="0.25">
      <c r="A501">
        <v>500</v>
      </c>
      <c r="B501" s="2">
        <v>43246</v>
      </c>
      <c r="C501">
        <v>4</v>
      </c>
      <c r="D501" s="1" t="s">
        <v>37</v>
      </c>
      <c r="E501" s="1" t="s">
        <v>15</v>
      </c>
      <c r="F501" s="1" t="s">
        <v>16</v>
      </c>
      <c r="G501" s="1" t="s">
        <v>17</v>
      </c>
      <c r="H501">
        <v>289</v>
      </c>
      <c r="I501">
        <v>6</v>
      </c>
      <c r="J501">
        <v>1734</v>
      </c>
    </row>
    <row r="502" spans="1:10" x14ac:dyDescent="0.25">
      <c r="A502">
        <v>501</v>
      </c>
      <c r="B502" s="2">
        <v>43247</v>
      </c>
      <c r="C502">
        <v>2</v>
      </c>
      <c r="D502" s="1" t="s">
        <v>45</v>
      </c>
      <c r="E502" s="1" t="s">
        <v>15</v>
      </c>
      <c r="F502" s="1" t="s">
        <v>16</v>
      </c>
      <c r="G502" s="1" t="s">
        <v>13</v>
      </c>
      <c r="H502">
        <v>199</v>
      </c>
      <c r="I502">
        <v>5</v>
      </c>
      <c r="J502">
        <v>995</v>
      </c>
    </row>
    <row r="503" spans="1:10" x14ac:dyDescent="0.25">
      <c r="A503">
        <v>502</v>
      </c>
      <c r="B503" s="2">
        <v>43247</v>
      </c>
      <c r="C503">
        <v>2</v>
      </c>
      <c r="D503" s="1" t="s">
        <v>45</v>
      </c>
      <c r="E503" s="1" t="s">
        <v>15</v>
      </c>
      <c r="F503" s="1" t="s">
        <v>16</v>
      </c>
      <c r="G503" s="1" t="s">
        <v>13</v>
      </c>
      <c r="H503">
        <v>199</v>
      </c>
      <c r="I503">
        <v>0</v>
      </c>
      <c r="J503">
        <v>0</v>
      </c>
    </row>
    <row r="504" spans="1:10" x14ac:dyDescent="0.25">
      <c r="A504">
        <v>503</v>
      </c>
      <c r="B504" s="2">
        <v>43247</v>
      </c>
      <c r="C504">
        <v>10</v>
      </c>
      <c r="D504" s="1" t="s">
        <v>39</v>
      </c>
      <c r="E504" s="1" t="s">
        <v>35</v>
      </c>
      <c r="F504" s="1" t="s">
        <v>20</v>
      </c>
      <c r="G504" s="1" t="s">
        <v>17</v>
      </c>
      <c r="H504">
        <v>289</v>
      </c>
      <c r="I504">
        <v>8</v>
      </c>
      <c r="J504">
        <v>2312</v>
      </c>
    </row>
    <row r="505" spans="1:10" x14ac:dyDescent="0.25">
      <c r="A505">
        <v>504</v>
      </c>
      <c r="B505" s="2">
        <v>43248</v>
      </c>
      <c r="C505">
        <v>9</v>
      </c>
      <c r="D505" s="1" t="s">
        <v>18</v>
      </c>
      <c r="E505" s="1" t="s">
        <v>19</v>
      </c>
      <c r="F505" s="1" t="s">
        <v>20</v>
      </c>
      <c r="G505" s="1" t="s">
        <v>13</v>
      </c>
      <c r="H505">
        <v>199</v>
      </c>
      <c r="I505">
        <v>6</v>
      </c>
      <c r="J505">
        <v>1194</v>
      </c>
    </row>
    <row r="506" spans="1:10" x14ac:dyDescent="0.25">
      <c r="A506">
        <v>505</v>
      </c>
      <c r="B506" s="2">
        <v>43249</v>
      </c>
      <c r="C506">
        <v>12</v>
      </c>
      <c r="D506" s="1" t="s">
        <v>42</v>
      </c>
      <c r="E506" s="1" t="s">
        <v>41</v>
      </c>
      <c r="F506" s="1" t="s">
        <v>12</v>
      </c>
      <c r="G506" s="1" t="s">
        <v>13</v>
      </c>
      <c r="H506">
        <v>199</v>
      </c>
      <c r="I506">
        <v>2</v>
      </c>
      <c r="J506">
        <v>398</v>
      </c>
    </row>
    <row r="507" spans="1:10" x14ac:dyDescent="0.25">
      <c r="A507">
        <v>506</v>
      </c>
      <c r="B507" s="2">
        <v>43249</v>
      </c>
      <c r="C507">
        <v>17</v>
      </c>
      <c r="D507" s="1" t="s">
        <v>28</v>
      </c>
      <c r="E507" s="1" t="s">
        <v>23</v>
      </c>
      <c r="F507" s="1" t="s">
        <v>24</v>
      </c>
      <c r="G507" s="1" t="s">
        <v>26</v>
      </c>
      <c r="H507">
        <v>69</v>
      </c>
      <c r="I507">
        <v>4</v>
      </c>
      <c r="J507">
        <v>276</v>
      </c>
    </row>
    <row r="508" spans="1:10" x14ac:dyDescent="0.25">
      <c r="A508">
        <v>507</v>
      </c>
      <c r="B508" s="2">
        <v>43249</v>
      </c>
      <c r="C508">
        <v>2</v>
      </c>
      <c r="D508" s="1" t="s">
        <v>45</v>
      </c>
      <c r="E508" s="1" t="s">
        <v>43</v>
      </c>
      <c r="F508" s="1" t="s">
        <v>16</v>
      </c>
      <c r="G508" s="1" t="s">
        <v>32</v>
      </c>
      <c r="H508">
        <v>399</v>
      </c>
      <c r="I508">
        <v>9</v>
      </c>
      <c r="J508">
        <v>3591</v>
      </c>
    </row>
    <row r="509" spans="1:10" x14ac:dyDescent="0.25">
      <c r="A509">
        <v>508</v>
      </c>
      <c r="B509" s="2">
        <v>43249</v>
      </c>
      <c r="C509">
        <v>19</v>
      </c>
      <c r="D509" s="1" t="s">
        <v>38</v>
      </c>
      <c r="E509" s="1" t="s">
        <v>29</v>
      </c>
      <c r="F509" s="1" t="s">
        <v>24</v>
      </c>
      <c r="G509" s="1" t="s">
        <v>32</v>
      </c>
      <c r="H509">
        <v>399</v>
      </c>
      <c r="I509">
        <v>6</v>
      </c>
      <c r="J509">
        <v>2394</v>
      </c>
    </row>
    <row r="510" spans="1:10" x14ac:dyDescent="0.25">
      <c r="A510">
        <v>509</v>
      </c>
      <c r="B510" s="2">
        <v>43250</v>
      </c>
      <c r="C510">
        <v>19</v>
      </c>
      <c r="D510" s="1" t="s">
        <v>38</v>
      </c>
      <c r="E510" s="1" t="s">
        <v>23</v>
      </c>
      <c r="F510" s="1" t="s">
        <v>24</v>
      </c>
      <c r="G510" s="1" t="s">
        <v>21</v>
      </c>
      <c r="H510">
        <v>159</v>
      </c>
      <c r="I510">
        <v>8</v>
      </c>
      <c r="J510">
        <v>1272</v>
      </c>
    </row>
    <row r="511" spans="1:10" x14ac:dyDescent="0.25">
      <c r="A511">
        <v>510</v>
      </c>
      <c r="B511" s="2">
        <v>43250</v>
      </c>
      <c r="C511">
        <v>2</v>
      </c>
      <c r="D511" s="1" t="s">
        <v>45</v>
      </c>
      <c r="E511" s="1" t="s">
        <v>15</v>
      </c>
      <c r="F511" s="1" t="s">
        <v>16</v>
      </c>
      <c r="G511" s="1" t="s">
        <v>26</v>
      </c>
      <c r="H511">
        <v>69</v>
      </c>
      <c r="I511">
        <v>5</v>
      </c>
      <c r="J511">
        <v>345</v>
      </c>
    </row>
    <row r="512" spans="1:10" x14ac:dyDescent="0.25">
      <c r="A512">
        <v>511</v>
      </c>
      <c r="B512" s="2">
        <v>43250</v>
      </c>
      <c r="C512">
        <v>19</v>
      </c>
      <c r="D512" s="1" t="s">
        <v>38</v>
      </c>
      <c r="E512" s="1" t="s">
        <v>23</v>
      </c>
      <c r="F512" s="1" t="s">
        <v>24</v>
      </c>
      <c r="G512" s="1" t="s">
        <v>17</v>
      </c>
      <c r="H512">
        <v>289</v>
      </c>
      <c r="I512">
        <v>9</v>
      </c>
      <c r="J512">
        <v>2601</v>
      </c>
    </row>
    <row r="513" spans="1:10" x14ac:dyDescent="0.25">
      <c r="A513">
        <v>512</v>
      </c>
      <c r="B513" s="2">
        <v>43250</v>
      </c>
      <c r="C513">
        <v>2</v>
      </c>
      <c r="D513" s="1" t="s">
        <v>45</v>
      </c>
      <c r="E513" s="1" t="s">
        <v>43</v>
      </c>
      <c r="F513" s="1" t="s">
        <v>16</v>
      </c>
      <c r="G513" s="1" t="s">
        <v>26</v>
      </c>
      <c r="H513">
        <v>69</v>
      </c>
      <c r="I513">
        <v>9</v>
      </c>
      <c r="J513">
        <v>621</v>
      </c>
    </row>
    <row r="514" spans="1:10" x14ac:dyDescent="0.25">
      <c r="A514">
        <v>513</v>
      </c>
      <c r="B514" s="2">
        <v>43251</v>
      </c>
      <c r="C514">
        <v>14</v>
      </c>
      <c r="D514" s="1" t="s">
        <v>30</v>
      </c>
      <c r="E514" s="1" t="s">
        <v>41</v>
      </c>
      <c r="F514" s="1" t="s">
        <v>12</v>
      </c>
      <c r="G514" s="1" t="s">
        <v>26</v>
      </c>
      <c r="H514">
        <v>69</v>
      </c>
      <c r="I514">
        <v>3</v>
      </c>
      <c r="J514">
        <v>207</v>
      </c>
    </row>
    <row r="515" spans="1:10" x14ac:dyDescent="0.25">
      <c r="A515">
        <v>514</v>
      </c>
      <c r="B515" s="2">
        <v>43252</v>
      </c>
      <c r="C515">
        <v>14</v>
      </c>
      <c r="D515" s="1" t="s">
        <v>30</v>
      </c>
      <c r="E515" s="1" t="s">
        <v>11</v>
      </c>
      <c r="F515" s="1" t="s">
        <v>12</v>
      </c>
      <c r="G515" s="1" t="s">
        <v>26</v>
      </c>
      <c r="H515">
        <v>69</v>
      </c>
      <c r="I515">
        <v>0</v>
      </c>
      <c r="J515">
        <v>0</v>
      </c>
    </row>
    <row r="516" spans="1:10" x14ac:dyDescent="0.25">
      <c r="A516">
        <v>515</v>
      </c>
      <c r="B516" s="2">
        <v>43252</v>
      </c>
      <c r="C516">
        <v>8</v>
      </c>
      <c r="D516" s="1" t="s">
        <v>34</v>
      </c>
      <c r="E516" s="1" t="s">
        <v>35</v>
      </c>
      <c r="F516" s="1" t="s">
        <v>20</v>
      </c>
      <c r="G516" s="1" t="s">
        <v>17</v>
      </c>
      <c r="H516">
        <v>289</v>
      </c>
      <c r="I516">
        <v>4</v>
      </c>
      <c r="J516">
        <v>1156</v>
      </c>
    </row>
    <row r="517" spans="1:10" x14ac:dyDescent="0.25">
      <c r="A517">
        <v>516</v>
      </c>
      <c r="B517" s="2">
        <v>43252</v>
      </c>
      <c r="C517">
        <v>4</v>
      </c>
      <c r="D517" s="1" t="s">
        <v>37</v>
      </c>
      <c r="E517" s="1" t="s">
        <v>43</v>
      </c>
      <c r="F517" s="1" t="s">
        <v>16</v>
      </c>
      <c r="G517" s="1" t="s">
        <v>17</v>
      </c>
      <c r="H517">
        <v>289</v>
      </c>
      <c r="I517">
        <v>3</v>
      </c>
      <c r="J517">
        <v>867</v>
      </c>
    </row>
    <row r="518" spans="1:10" x14ac:dyDescent="0.25">
      <c r="A518">
        <v>517</v>
      </c>
      <c r="B518" s="2">
        <v>43253</v>
      </c>
      <c r="C518">
        <v>19</v>
      </c>
      <c r="D518" s="1" t="s">
        <v>38</v>
      </c>
      <c r="E518" s="1" t="s">
        <v>23</v>
      </c>
      <c r="F518" s="1" t="s">
        <v>24</v>
      </c>
      <c r="G518" s="1" t="s">
        <v>17</v>
      </c>
      <c r="H518">
        <v>289</v>
      </c>
      <c r="I518">
        <v>4</v>
      </c>
      <c r="J518">
        <v>1156</v>
      </c>
    </row>
    <row r="519" spans="1:10" x14ac:dyDescent="0.25">
      <c r="A519">
        <v>518</v>
      </c>
      <c r="B519" s="2">
        <v>43253</v>
      </c>
      <c r="C519">
        <v>9</v>
      </c>
      <c r="D519" s="1" t="s">
        <v>18</v>
      </c>
      <c r="E519" s="1" t="s">
        <v>19</v>
      </c>
      <c r="F519" s="1" t="s">
        <v>20</v>
      </c>
      <c r="G519" s="1" t="s">
        <v>13</v>
      </c>
      <c r="H519">
        <v>199</v>
      </c>
      <c r="I519">
        <v>7</v>
      </c>
      <c r="J519">
        <v>1393</v>
      </c>
    </row>
    <row r="520" spans="1:10" x14ac:dyDescent="0.25">
      <c r="A520">
        <v>519</v>
      </c>
      <c r="B520" s="2">
        <v>43254</v>
      </c>
      <c r="C520">
        <v>5</v>
      </c>
      <c r="D520" s="1" t="s">
        <v>40</v>
      </c>
      <c r="E520" s="1" t="s">
        <v>43</v>
      </c>
      <c r="F520" s="1" t="s">
        <v>16</v>
      </c>
      <c r="G520" s="1" t="s">
        <v>13</v>
      </c>
      <c r="H520">
        <v>199</v>
      </c>
      <c r="I520">
        <v>9</v>
      </c>
      <c r="J520">
        <v>1791</v>
      </c>
    </row>
    <row r="521" spans="1:10" x14ac:dyDescent="0.25">
      <c r="A521">
        <v>520</v>
      </c>
      <c r="B521" s="2">
        <v>43254</v>
      </c>
      <c r="C521">
        <v>18</v>
      </c>
      <c r="D521" s="1" t="s">
        <v>22</v>
      </c>
      <c r="E521" s="1" t="s">
        <v>23</v>
      </c>
      <c r="F521" s="1" t="s">
        <v>24</v>
      </c>
      <c r="G521" s="1" t="s">
        <v>32</v>
      </c>
      <c r="H521">
        <v>399</v>
      </c>
      <c r="I521">
        <v>7</v>
      </c>
      <c r="J521">
        <v>2793</v>
      </c>
    </row>
    <row r="522" spans="1:10" x14ac:dyDescent="0.25">
      <c r="A522">
        <v>521</v>
      </c>
      <c r="B522" s="2">
        <v>43254</v>
      </c>
      <c r="C522">
        <v>5</v>
      </c>
      <c r="D522" s="1" t="s">
        <v>40</v>
      </c>
      <c r="E522" s="1" t="s">
        <v>43</v>
      </c>
      <c r="F522" s="1" t="s">
        <v>16</v>
      </c>
      <c r="G522" s="1" t="s">
        <v>17</v>
      </c>
      <c r="H522">
        <v>289</v>
      </c>
      <c r="I522">
        <v>3</v>
      </c>
      <c r="J522">
        <v>867</v>
      </c>
    </row>
    <row r="523" spans="1:10" x14ac:dyDescent="0.25">
      <c r="A523">
        <v>522</v>
      </c>
      <c r="B523" s="2">
        <v>43254</v>
      </c>
      <c r="C523">
        <v>12</v>
      </c>
      <c r="D523" s="1" t="s">
        <v>42</v>
      </c>
      <c r="E523" s="1" t="s">
        <v>41</v>
      </c>
      <c r="F523" s="1" t="s">
        <v>12</v>
      </c>
      <c r="G523" s="1" t="s">
        <v>13</v>
      </c>
      <c r="H523">
        <v>199</v>
      </c>
      <c r="I523">
        <v>9</v>
      </c>
      <c r="J523">
        <v>1791</v>
      </c>
    </row>
    <row r="524" spans="1:10" x14ac:dyDescent="0.25">
      <c r="A524">
        <v>523</v>
      </c>
      <c r="B524" s="2">
        <v>43254</v>
      </c>
      <c r="C524">
        <v>18</v>
      </c>
      <c r="D524" s="1" t="s">
        <v>22</v>
      </c>
      <c r="E524" s="1" t="s">
        <v>23</v>
      </c>
      <c r="F524" s="1" t="s">
        <v>24</v>
      </c>
      <c r="G524" s="1" t="s">
        <v>17</v>
      </c>
      <c r="H524">
        <v>289</v>
      </c>
      <c r="I524">
        <v>7</v>
      </c>
      <c r="J524">
        <v>2023</v>
      </c>
    </row>
    <row r="525" spans="1:10" x14ac:dyDescent="0.25">
      <c r="A525">
        <v>524</v>
      </c>
      <c r="B525" s="2">
        <v>43254</v>
      </c>
      <c r="C525">
        <v>4</v>
      </c>
      <c r="D525" s="1" t="s">
        <v>37</v>
      </c>
      <c r="E525" s="1" t="s">
        <v>15</v>
      </c>
      <c r="F525" s="1" t="s">
        <v>16</v>
      </c>
      <c r="G525" s="1" t="s">
        <v>26</v>
      </c>
      <c r="H525">
        <v>69</v>
      </c>
      <c r="I525">
        <v>9</v>
      </c>
      <c r="J525">
        <v>621</v>
      </c>
    </row>
    <row r="526" spans="1:10" x14ac:dyDescent="0.25">
      <c r="A526">
        <v>525</v>
      </c>
      <c r="B526" s="2">
        <v>43254</v>
      </c>
      <c r="C526">
        <v>7</v>
      </c>
      <c r="D526" s="1" t="s">
        <v>44</v>
      </c>
      <c r="E526" s="1" t="s">
        <v>19</v>
      </c>
      <c r="F526" s="1" t="s">
        <v>20</v>
      </c>
      <c r="G526" s="1" t="s">
        <v>21</v>
      </c>
      <c r="H526">
        <v>159</v>
      </c>
      <c r="I526">
        <v>3</v>
      </c>
      <c r="J526">
        <v>477</v>
      </c>
    </row>
    <row r="527" spans="1:10" x14ac:dyDescent="0.25">
      <c r="A527">
        <v>526</v>
      </c>
      <c r="B527" s="2">
        <v>43254</v>
      </c>
      <c r="C527">
        <v>20</v>
      </c>
      <c r="D527" s="1" t="s">
        <v>31</v>
      </c>
      <c r="E527" s="1" t="s">
        <v>29</v>
      </c>
      <c r="F527" s="1" t="s">
        <v>24</v>
      </c>
      <c r="G527" s="1" t="s">
        <v>17</v>
      </c>
      <c r="H527">
        <v>289</v>
      </c>
      <c r="I527">
        <v>7</v>
      </c>
      <c r="J527">
        <v>2023</v>
      </c>
    </row>
    <row r="528" spans="1:10" x14ac:dyDescent="0.25">
      <c r="A528">
        <v>527</v>
      </c>
      <c r="B528" s="2">
        <v>43254</v>
      </c>
      <c r="C528">
        <v>1</v>
      </c>
      <c r="D528" s="1" t="s">
        <v>14</v>
      </c>
      <c r="E528" s="1" t="s">
        <v>43</v>
      </c>
      <c r="F528" s="1" t="s">
        <v>16</v>
      </c>
      <c r="G528" s="1" t="s">
        <v>17</v>
      </c>
      <c r="H528">
        <v>289</v>
      </c>
      <c r="I528">
        <v>7</v>
      </c>
      <c r="J528">
        <v>2023</v>
      </c>
    </row>
    <row r="529" spans="1:10" x14ac:dyDescent="0.25">
      <c r="A529">
        <v>528</v>
      </c>
      <c r="B529" s="2">
        <v>43254</v>
      </c>
      <c r="C529">
        <v>4</v>
      </c>
      <c r="D529" s="1" t="s">
        <v>37</v>
      </c>
      <c r="E529" s="1" t="s">
        <v>15</v>
      </c>
      <c r="F529" s="1" t="s">
        <v>16</v>
      </c>
      <c r="G529" s="1" t="s">
        <v>17</v>
      </c>
      <c r="H529">
        <v>289</v>
      </c>
      <c r="I529">
        <v>9</v>
      </c>
      <c r="J529">
        <v>2601</v>
      </c>
    </row>
    <row r="530" spans="1:10" x14ac:dyDescent="0.25">
      <c r="A530">
        <v>529</v>
      </c>
      <c r="B530" s="2">
        <v>43254</v>
      </c>
      <c r="C530">
        <v>13</v>
      </c>
      <c r="D530" s="1" t="s">
        <v>27</v>
      </c>
      <c r="E530" s="1" t="s">
        <v>41</v>
      </c>
      <c r="F530" s="1" t="s">
        <v>12</v>
      </c>
      <c r="G530" s="1" t="s">
        <v>13</v>
      </c>
      <c r="H530">
        <v>199</v>
      </c>
      <c r="I530">
        <v>8</v>
      </c>
      <c r="J530">
        <v>1592</v>
      </c>
    </row>
    <row r="531" spans="1:10" x14ac:dyDescent="0.25">
      <c r="A531">
        <v>530</v>
      </c>
      <c r="B531" s="2">
        <v>43254</v>
      </c>
      <c r="C531">
        <v>16</v>
      </c>
      <c r="D531" s="1" t="s">
        <v>25</v>
      </c>
      <c r="E531" s="1" t="s">
        <v>29</v>
      </c>
      <c r="F531" s="1" t="s">
        <v>24</v>
      </c>
      <c r="G531" s="1" t="s">
        <v>32</v>
      </c>
      <c r="H531">
        <v>399</v>
      </c>
      <c r="I531">
        <v>7</v>
      </c>
      <c r="J531">
        <v>2793</v>
      </c>
    </row>
    <row r="532" spans="1:10" x14ac:dyDescent="0.25">
      <c r="A532">
        <v>531</v>
      </c>
      <c r="B532" s="2">
        <v>43255</v>
      </c>
      <c r="C532">
        <v>8</v>
      </c>
      <c r="D532" s="1" t="s">
        <v>34</v>
      </c>
      <c r="E532" s="1" t="s">
        <v>19</v>
      </c>
      <c r="F532" s="1" t="s">
        <v>20</v>
      </c>
      <c r="G532" s="1" t="s">
        <v>13</v>
      </c>
      <c r="H532">
        <v>199</v>
      </c>
      <c r="I532">
        <v>3</v>
      </c>
      <c r="J532">
        <v>597</v>
      </c>
    </row>
    <row r="533" spans="1:10" x14ac:dyDescent="0.25">
      <c r="A533">
        <v>532</v>
      </c>
      <c r="B533" s="2">
        <v>43255</v>
      </c>
      <c r="C533">
        <v>11</v>
      </c>
      <c r="D533" s="1" t="s">
        <v>10</v>
      </c>
      <c r="E533" s="1" t="s">
        <v>41</v>
      </c>
      <c r="F533" s="1" t="s">
        <v>12</v>
      </c>
      <c r="G533" s="1" t="s">
        <v>32</v>
      </c>
      <c r="H533">
        <v>399</v>
      </c>
      <c r="I533">
        <v>8</v>
      </c>
      <c r="J533">
        <v>3192</v>
      </c>
    </row>
    <row r="534" spans="1:10" x14ac:dyDescent="0.25">
      <c r="A534">
        <v>533</v>
      </c>
      <c r="B534" s="2">
        <v>43256</v>
      </c>
      <c r="C534">
        <v>8</v>
      </c>
      <c r="D534" s="1" t="s">
        <v>34</v>
      </c>
      <c r="E534" s="1" t="s">
        <v>35</v>
      </c>
      <c r="F534" s="1" t="s">
        <v>20</v>
      </c>
      <c r="G534" s="1" t="s">
        <v>13</v>
      </c>
      <c r="H534">
        <v>199</v>
      </c>
      <c r="I534">
        <v>5</v>
      </c>
      <c r="J534">
        <v>995</v>
      </c>
    </row>
    <row r="535" spans="1:10" x14ac:dyDescent="0.25">
      <c r="A535">
        <v>534</v>
      </c>
      <c r="B535" s="2">
        <v>43256</v>
      </c>
      <c r="C535">
        <v>7</v>
      </c>
      <c r="D535" s="1" t="s">
        <v>44</v>
      </c>
      <c r="E535" s="1" t="s">
        <v>35</v>
      </c>
      <c r="F535" s="1" t="s">
        <v>20</v>
      </c>
      <c r="G535" s="1" t="s">
        <v>21</v>
      </c>
      <c r="H535">
        <v>159</v>
      </c>
      <c r="I535">
        <v>9</v>
      </c>
      <c r="J535">
        <v>1431</v>
      </c>
    </row>
    <row r="536" spans="1:10" x14ac:dyDescent="0.25">
      <c r="A536">
        <v>535</v>
      </c>
      <c r="B536" s="2">
        <v>43256</v>
      </c>
      <c r="C536">
        <v>19</v>
      </c>
      <c r="D536" s="1" t="s">
        <v>38</v>
      </c>
      <c r="E536" s="1" t="s">
        <v>23</v>
      </c>
      <c r="F536" s="1" t="s">
        <v>24</v>
      </c>
      <c r="G536" s="1" t="s">
        <v>13</v>
      </c>
      <c r="H536">
        <v>199</v>
      </c>
      <c r="I536">
        <v>2</v>
      </c>
      <c r="J536">
        <v>398</v>
      </c>
    </row>
    <row r="537" spans="1:10" x14ac:dyDescent="0.25">
      <c r="A537">
        <v>536</v>
      </c>
      <c r="B537" s="2">
        <v>43256</v>
      </c>
      <c r="C537">
        <v>17</v>
      </c>
      <c r="D537" s="1" t="s">
        <v>28</v>
      </c>
      <c r="E537" s="1" t="s">
        <v>29</v>
      </c>
      <c r="F537" s="1" t="s">
        <v>24</v>
      </c>
      <c r="G537" s="1" t="s">
        <v>26</v>
      </c>
      <c r="H537">
        <v>69</v>
      </c>
      <c r="I537">
        <v>0</v>
      </c>
      <c r="J537">
        <v>0</v>
      </c>
    </row>
    <row r="538" spans="1:10" x14ac:dyDescent="0.25">
      <c r="A538">
        <v>537</v>
      </c>
      <c r="B538" s="2">
        <v>43257</v>
      </c>
      <c r="C538">
        <v>9</v>
      </c>
      <c r="D538" s="1" t="s">
        <v>18</v>
      </c>
      <c r="E538" s="1" t="s">
        <v>35</v>
      </c>
      <c r="F538" s="1" t="s">
        <v>20</v>
      </c>
      <c r="G538" s="1" t="s">
        <v>13</v>
      </c>
      <c r="H538">
        <v>199</v>
      </c>
      <c r="I538">
        <v>1</v>
      </c>
      <c r="J538">
        <v>199</v>
      </c>
    </row>
    <row r="539" spans="1:10" x14ac:dyDescent="0.25">
      <c r="A539">
        <v>538</v>
      </c>
      <c r="B539" s="2">
        <v>43257</v>
      </c>
      <c r="C539">
        <v>8</v>
      </c>
      <c r="D539" s="1" t="s">
        <v>34</v>
      </c>
      <c r="E539" s="1" t="s">
        <v>35</v>
      </c>
      <c r="F539" s="1" t="s">
        <v>20</v>
      </c>
      <c r="G539" s="1" t="s">
        <v>13</v>
      </c>
      <c r="H539">
        <v>199</v>
      </c>
      <c r="I539">
        <v>2</v>
      </c>
      <c r="J539">
        <v>398</v>
      </c>
    </row>
    <row r="540" spans="1:10" x14ac:dyDescent="0.25">
      <c r="A540">
        <v>539</v>
      </c>
      <c r="B540" s="2">
        <v>43258</v>
      </c>
      <c r="C540">
        <v>19</v>
      </c>
      <c r="D540" s="1" t="s">
        <v>38</v>
      </c>
      <c r="E540" s="1" t="s">
        <v>23</v>
      </c>
      <c r="F540" s="1" t="s">
        <v>24</v>
      </c>
      <c r="G540" s="1" t="s">
        <v>13</v>
      </c>
      <c r="H540">
        <v>199</v>
      </c>
      <c r="I540">
        <v>0</v>
      </c>
      <c r="J540">
        <v>0</v>
      </c>
    </row>
    <row r="541" spans="1:10" x14ac:dyDescent="0.25">
      <c r="A541">
        <v>540</v>
      </c>
      <c r="B541" s="2">
        <v>43259</v>
      </c>
      <c r="C541">
        <v>9</v>
      </c>
      <c r="D541" s="1" t="s">
        <v>18</v>
      </c>
      <c r="E541" s="1" t="s">
        <v>35</v>
      </c>
      <c r="F541" s="1" t="s">
        <v>20</v>
      </c>
      <c r="G541" s="1" t="s">
        <v>21</v>
      </c>
      <c r="H541">
        <v>159</v>
      </c>
      <c r="I541">
        <v>3</v>
      </c>
      <c r="J541">
        <v>477</v>
      </c>
    </row>
    <row r="542" spans="1:10" x14ac:dyDescent="0.25">
      <c r="A542">
        <v>541</v>
      </c>
      <c r="B542" s="2">
        <v>43259</v>
      </c>
      <c r="C542">
        <v>9</v>
      </c>
      <c r="D542" s="1" t="s">
        <v>18</v>
      </c>
      <c r="E542" s="1" t="s">
        <v>35</v>
      </c>
      <c r="F542" s="1" t="s">
        <v>20</v>
      </c>
      <c r="G542" s="1" t="s">
        <v>17</v>
      </c>
      <c r="H542">
        <v>289</v>
      </c>
      <c r="I542">
        <v>9</v>
      </c>
      <c r="J542">
        <v>2601</v>
      </c>
    </row>
    <row r="543" spans="1:10" x14ac:dyDescent="0.25">
      <c r="A543">
        <v>542</v>
      </c>
      <c r="B543" s="2">
        <v>43259</v>
      </c>
      <c r="C543">
        <v>9</v>
      </c>
      <c r="D543" s="1" t="s">
        <v>18</v>
      </c>
      <c r="E543" s="1" t="s">
        <v>35</v>
      </c>
      <c r="F543" s="1" t="s">
        <v>20</v>
      </c>
      <c r="G543" s="1" t="s">
        <v>32</v>
      </c>
      <c r="H543">
        <v>399</v>
      </c>
      <c r="I543">
        <v>5</v>
      </c>
      <c r="J543">
        <v>1995</v>
      </c>
    </row>
    <row r="544" spans="1:10" x14ac:dyDescent="0.25">
      <c r="A544">
        <v>543</v>
      </c>
      <c r="B544" s="2">
        <v>43259</v>
      </c>
      <c r="C544">
        <v>20</v>
      </c>
      <c r="D544" s="1" t="s">
        <v>31</v>
      </c>
      <c r="E544" s="1" t="s">
        <v>29</v>
      </c>
      <c r="F544" s="1" t="s">
        <v>24</v>
      </c>
      <c r="G544" s="1" t="s">
        <v>21</v>
      </c>
      <c r="H544">
        <v>159</v>
      </c>
      <c r="I544">
        <v>5</v>
      </c>
      <c r="J544">
        <v>795</v>
      </c>
    </row>
    <row r="545" spans="1:10" x14ac:dyDescent="0.25">
      <c r="A545">
        <v>544</v>
      </c>
      <c r="B545" s="2">
        <v>43260</v>
      </c>
      <c r="C545">
        <v>9</v>
      </c>
      <c r="D545" s="1" t="s">
        <v>18</v>
      </c>
      <c r="E545" s="1" t="s">
        <v>35</v>
      </c>
      <c r="F545" s="1" t="s">
        <v>20</v>
      </c>
      <c r="G545" s="1" t="s">
        <v>17</v>
      </c>
      <c r="H545">
        <v>289</v>
      </c>
      <c r="I545">
        <v>6</v>
      </c>
      <c r="J545">
        <v>1734</v>
      </c>
    </row>
    <row r="546" spans="1:10" x14ac:dyDescent="0.25">
      <c r="A546">
        <v>545</v>
      </c>
      <c r="B546" s="2">
        <v>43260</v>
      </c>
      <c r="C546">
        <v>14</v>
      </c>
      <c r="D546" s="1" t="s">
        <v>30</v>
      </c>
      <c r="E546" s="1" t="s">
        <v>41</v>
      </c>
      <c r="F546" s="1" t="s">
        <v>12</v>
      </c>
      <c r="G546" s="1" t="s">
        <v>32</v>
      </c>
      <c r="H546">
        <v>399</v>
      </c>
      <c r="I546">
        <v>0</v>
      </c>
      <c r="J546">
        <v>0</v>
      </c>
    </row>
    <row r="547" spans="1:10" x14ac:dyDescent="0.25">
      <c r="A547">
        <v>546</v>
      </c>
      <c r="B547" s="2">
        <v>43261</v>
      </c>
      <c r="C547">
        <v>4</v>
      </c>
      <c r="D547" s="1" t="s">
        <v>37</v>
      </c>
      <c r="E547" s="1" t="s">
        <v>43</v>
      </c>
      <c r="F547" s="1" t="s">
        <v>16</v>
      </c>
      <c r="G547" s="1" t="s">
        <v>13</v>
      </c>
      <c r="H547">
        <v>199</v>
      </c>
      <c r="I547">
        <v>5</v>
      </c>
      <c r="J547">
        <v>995</v>
      </c>
    </row>
    <row r="548" spans="1:10" x14ac:dyDescent="0.25">
      <c r="A548">
        <v>547</v>
      </c>
      <c r="B548" s="2">
        <v>43262</v>
      </c>
      <c r="C548">
        <v>6</v>
      </c>
      <c r="D548" s="1" t="s">
        <v>36</v>
      </c>
      <c r="E548" s="1" t="s">
        <v>19</v>
      </c>
      <c r="F548" s="1" t="s">
        <v>20</v>
      </c>
      <c r="G548" s="1" t="s">
        <v>26</v>
      </c>
      <c r="H548">
        <v>69</v>
      </c>
      <c r="I548">
        <v>7</v>
      </c>
      <c r="J548">
        <v>483</v>
      </c>
    </row>
    <row r="549" spans="1:10" x14ac:dyDescent="0.25">
      <c r="A549">
        <v>548</v>
      </c>
      <c r="B549" s="2">
        <v>43262</v>
      </c>
      <c r="C549">
        <v>2</v>
      </c>
      <c r="D549" s="1" t="s">
        <v>45</v>
      </c>
      <c r="E549" s="1" t="s">
        <v>43</v>
      </c>
      <c r="F549" s="1" t="s">
        <v>16</v>
      </c>
      <c r="G549" s="1" t="s">
        <v>13</v>
      </c>
      <c r="H549">
        <v>199</v>
      </c>
      <c r="I549">
        <v>7</v>
      </c>
      <c r="J549">
        <v>1393</v>
      </c>
    </row>
    <row r="550" spans="1:10" x14ac:dyDescent="0.25">
      <c r="A550">
        <v>549</v>
      </c>
      <c r="B550" s="2">
        <v>43262</v>
      </c>
      <c r="C550">
        <v>17</v>
      </c>
      <c r="D550" s="1" t="s">
        <v>28</v>
      </c>
      <c r="E550" s="1" t="s">
        <v>23</v>
      </c>
      <c r="F550" s="1" t="s">
        <v>24</v>
      </c>
      <c r="G550" s="1" t="s">
        <v>13</v>
      </c>
      <c r="H550">
        <v>199</v>
      </c>
      <c r="I550">
        <v>2</v>
      </c>
      <c r="J550">
        <v>398</v>
      </c>
    </row>
    <row r="551" spans="1:10" x14ac:dyDescent="0.25">
      <c r="A551">
        <v>550</v>
      </c>
      <c r="B551" s="2">
        <v>43262</v>
      </c>
      <c r="C551">
        <v>18</v>
      </c>
      <c r="D551" s="1" t="s">
        <v>22</v>
      </c>
      <c r="E551" s="1" t="s">
        <v>23</v>
      </c>
      <c r="F551" s="1" t="s">
        <v>24</v>
      </c>
      <c r="G551" s="1" t="s">
        <v>21</v>
      </c>
      <c r="H551">
        <v>159</v>
      </c>
      <c r="I551">
        <v>0</v>
      </c>
      <c r="J551">
        <v>0</v>
      </c>
    </row>
    <row r="552" spans="1:10" x14ac:dyDescent="0.25">
      <c r="A552">
        <v>551</v>
      </c>
      <c r="B552" s="2">
        <v>43262</v>
      </c>
      <c r="C552">
        <v>5</v>
      </c>
      <c r="D552" s="1" t="s">
        <v>40</v>
      </c>
      <c r="E552" s="1" t="s">
        <v>15</v>
      </c>
      <c r="F552" s="1" t="s">
        <v>16</v>
      </c>
      <c r="G552" s="1" t="s">
        <v>26</v>
      </c>
      <c r="H552">
        <v>69</v>
      </c>
      <c r="I552">
        <v>5</v>
      </c>
      <c r="J552">
        <v>345</v>
      </c>
    </row>
    <row r="553" spans="1:10" x14ac:dyDescent="0.25">
      <c r="A553">
        <v>552</v>
      </c>
      <c r="B553" s="2">
        <v>43262</v>
      </c>
      <c r="C553">
        <v>2</v>
      </c>
      <c r="D553" s="1" t="s">
        <v>45</v>
      </c>
      <c r="E553" s="1" t="s">
        <v>43</v>
      </c>
      <c r="F553" s="1" t="s">
        <v>16</v>
      </c>
      <c r="G553" s="1" t="s">
        <v>17</v>
      </c>
      <c r="H553">
        <v>289</v>
      </c>
      <c r="I553">
        <v>5</v>
      </c>
      <c r="J553">
        <v>1445</v>
      </c>
    </row>
    <row r="554" spans="1:10" x14ac:dyDescent="0.25">
      <c r="A554">
        <v>553</v>
      </c>
      <c r="B554" s="2">
        <v>43262</v>
      </c>
      <c r="C554">
        <v>11</v>
      </c>
      <c r="D554" s="1" t="s">
        <v>10</v>
      </c>
      <c r="E554" s="1" t="s">
        <v>11</v>
      </c>
      <c r="F554" s="1" t="s">
        <v>12</v>
      </c>
      <c r="G554" s="1" t="s">
        <v>32</v>
      </c>
      <c r="H554">
        <v>399</v>
      </c>
      <c r="I554">
        <v>0</v>
      </c>
      <c r="J554">
        <v>0</v>
      </c>
    </row>
    <row r="555" spans="1:10" x14ac:dyDescent="0.25">
      <c r="A555">
        <v>554</v>
      </c>
      <c r="B555" s="2">
        <v>43263</v>
      </c>
      <c r="C555">
        <v>19</v>
      </c>
      <c r="D555" s="1" t="s">
        <v>38</v>
      </c>
      <c r="E555" s="1" t="s">
        <v>23</v>
      </c>
      <c r="F555" s="1" t="s">
        <v>24</v>
      </c>
      <c r="G555" s="1" t="s">
        <v>13</v>
      </c>
      <c r="H555">
        <v>199</v>
      </c>
      <c r="I555">
        <v>4</v>
      </c>
      <c r="J555">
        <v>796</v>
      </c>
    </row>
    <row r="556" spans="1:10" x14ac:dyDescent="0.25">
      <c r="A556">
        <v>555</v>
      </c>
      <c r="B556" s="2">
        <v>43263</v>
      </c>
      <c r="C556">
        <v>6</v>
      </c>
      <c r="D556" s="1" t="s">
        <v>36</v>
      </c>
      <c r="E556" s="1" t="s">
        <v>19</v>
      </c>
      <c r="F556" s="1" t="s">
        <v>20</v>
      </c>
      <c r="G556" s="1" t="s">
        <v>13</v>
      </c>
      <c r="H556">
        <v>199</v>
      </c>
      <c r="I556">
        <v>9</v>
      </c>
      <c r="J556">
        <v>1791</v>
      </c>
    </row>
    <row r="557" spans="1:10" x14ac:dyDescent="0.25">
      <c r="A557">
        <v>556</v>
      </c>
      <c r="B557" s="2">
        <v>43263</v>
      </c>
      <c r="C557">
        <v>10</v>
      </c>
      <c r="D557" s="1" t="s">
        <v>39</v>
      </c>
      <c r="E557" s="1" t="s">
        <v>35</v>
      </c>
      <c r="F557" s="1" t="s">
        <v>20</v>
      </c>
      <c r="G557" s="1" t="s">
        <v>32</v>
      </c>
      <c r="H557">
        <v>399</v>
      </c>
      <c r="I557">
        <v>0</v>
      </c>
      <c r="J557">
        <v>0</v>
      </c>
    </row>
    <row r="558" spans="1:10" x14ac:dyDescent="0.25">
      <c r="A558">
        <v>557</v>
      </c>
      <c r="B558" s="2">
        <v>43263</v>
      </c>
      <c r="C558">
        <v>5</v>
      </c>
      <c r="D558" s="1" t="s">
        <v>40</v>
      </c>
      <c r="E558" s="1" t="s">
        <v>43</v>
      </c>
      <c r="F558" s="1" t="s">
        <v>16</v>
      </c>
      <c r="G558" s="1" t="s">
        <v>21</v>
      </c>
      <c r="H558">
        <v>159</v>
      </c>
      <c r="I558">
        <v>1</v>
      </c>
      <c r="J558">
        <v>159</v>
      </c>
    </row>
    <row r="559" spans="1:10" x14ac:dyDescent="0.25">
      <c r="A559">
        <v>558</v>
      </c>
      <c r="B559" s="2">
        <v>43264</v>
      </c>
      <c r="C559">
        <v>14</v>
      </c>
      <c r="D559" s="1" t="s">
        <v>30</v>
      </c>
      <c r="E559" s="1" t="s">
        <v>41</v>
      </c>
      <c r="F559" s="1" t="s">
        <v>12</v>
      </c>
      <c r="G559" s="1" t="s">
        <v>32</v>
      </c>
      <c r="H559">
        <v>399</v>
      </c>
      <c r="I559">
        <v>9</v>
      </c>
      <c r="J559">
        <v>3591</v>
      </c>
    </row>
    <row r="560" spans="1:10" x14ac:dyDescent="0.25">
      <c r="A560">
        <v>559</v>
      </c>
      <c r="B560" s="2">
        <v>43264</v>
      </c>
      <c r="C560">
        <v>2</v>
      </c>
      <c r="D560" s="1" t="s">
        <v>45</v>
      </c>
      <c r="E560" s="1" t="s">
        <v>43</v>
      </c>
      <c r="F560" s="1" t="s">
        <v>16</v>
      </c>
      <c r="G560" s="1" t="s">
        <v>17</v>
      </c>
      <c r="H560">
        <v>289</v>
      </c>
      <c r="I560">
        <v>2</v>
      </c>
      <c r="J560">
        <v>578</v>
      </c>
    </row>
    <row r="561" spans="1:10" x14ac:dyDescent="0.25">
      <c r="A561">
        <v>560</v>
      </c>
      <c r="B561" s="2">
        <v>43264</v>
      </c>
      <c r="C561">
        <v>15</v>
      </c>
      <c r="D561" s="1" t="s">
        <v>46</v>
      </c>
      <c r="E561" s="1" t="s">
        <v>41</v>
      </c>
      <c r="F561" s="1" t="s">
        <v>12</v>
      </c>
      <c r="G561" s="1" t="s">
        <v>17</v>
      </c>
      <c r="H561">
        <v>289</v>
      </c>
      <c r="I561">
        <v>5</v>
      </c>
      <c r="J561">
        <v>1445</v>
      </c>
    </row>
    <row r="562" spans="1:10" x14ac:dyDescent="0.25">
      <c r="A562">
        <v>561</v>
      </c>
      <c r="B562" s="2">
        <v>43265</v>
      </c>
      <c r="C562">
        <v>13</v>
      </c>
      <c r="D562" s="1" t="s">
        <v>27</v>
      </c>
      <c r="E562" s="1" t="s">
        <v>11</v>
      </c>
      <c r="F562" s="1" t="s">
        <v>12</v>
      </c>
      <c r="G562" s="1" t="s">
        <v>17</v>
      </c>
      <c r="H562">
        <v>289</v>
      </c>
      <c r="I562">
        <v>3</v>
      </c>
      <c r="J562">
        <v>867</v>
      </c>
    </row>
    <row r="563" spans="1:10" x14ac:dyDescent="0.25">
      <c r="A563">
        <v>562</v>
      </c>
      <c r="B563" s="2">
        <v>43266</v>
      </c>
      <c r="C563">
        <v>17</v>
      </c>
      <c r="D563" s="1" t="s">
        <v>28</v>
      </c>
      <c r="E563" s="1" t="s">
        <v>29</v>
      </c>
      <c r="F563" s="1" t="s">
        <v>24</v>
      </c>
      <c r="G563" s="1" t="s">
        <v>17</v>
      </c>
      <c r="H563">
        <v>289</v>
      </c>
      <c r="I563">
        <v>6</v>
      </c>
      <c r="J563">
        <v>1734</v>
      </c>
    </row>
    <row r="564" spans="1:10" x14ac:dyDescent="0.25">
      <c r="A564">
        <v>563</v>
      </c>
      <c r="B564" s="2">
        <v>43267</v>
      </c>
      <c r="C564">
        <v>13</v>
      </c>
      <c r="D564" s="1" t="s">
        <v>27</v>
      </c>
      <c r="E564" s="1" t="s">
        <v>11</v>
      </c>
      <c r="F564" s="1" t="s">
        <v>12</v>
      </c>
      <c r="G564" s="1" t="s">
        <v>32</v>
      </c>
      <c r="H564">
        <v>399</v>
      </c>
      <c r="I564">
        <v>0</v>
      </c>
      <c r="J564">
        <v>0</v>
      </c>
    </row>
    <row r="565" spans="1:10" x14ac:dyDescent="0.25">
      <c r="A565">
        <v>564</v>
      </c>
      <c r="B565" s="2">
        <v>43267</v>
      </c>
      <c r="C565">
        <v>15</v>
      </c>
      <c r="D565" s="1" t="s">
        <v>46</v>
      </c>
      <c r="E565" s="1" t="s">
        <v>11</v>
      </c>
      <c r="F565" s="1" t="s">
        <v>12</v>
      </c>
      <c r="G565" s="1" t="s">
        <v>32</v>
      </c>
      <c r="H565">
        <v>399</v>
      </c>
      <c r="I565">
        <v>6</v>
      </c>
      <c r="J565">
        <v>2394</v>
      </c>
    </row>
    <row r="566" spans="1:10" x14ac:dyDescent="0.25">
      <c r="A566">
        <v>565</v>
      </c>
      <c r="B566" s="2">
        <v>43267</v>
      </c>
      <c r="C566">
        <v>1</v>
      </c>
      <c r="D566" s="1" t="s">
        <v>14</v>
      </c>
      <c r="E566" s="1" t="s">
        <v>15</v>
      </c>
      <c r="F566" s="1" t="s">
        <v>16</v>
      </c>
      <c r="G566" s="1" t="s">
        <v>13</v>
      </c>
      <c r="H566">
        <v>199</v>
      </c>
      <c r="I566">
        <v>0</v>
      </c>
      <c r="J566">
        <v>0</v>
      </c>
    </row>
    <row r="567" spans="1:10" x14ac:dyDescent="0.25">
      <c r="A567">
        <v>566</v>
      </c>
      <c r="B567" s="2">
        <v>43267</v>
      </c>
      <c r="C567">
        <v>10</v>
      </c>
      <c r="D567" s="1" t="s">
        <v>39</v>
      </c>
      <c r="E567" s="1" t="s">
        <v>19</v>
      </c>
      <c r="F567" s="1" t="s">
        <v>20</v>
      </c>
      <c r="G567" s="1" t="s">
        <v>21</v>
      </c>
      <c r="H567">
        <v>159</v>
      </c>
      <c r="I567">
        <v>8</v>
      </c>
      <c r="J567">
        <v>1272</v>
      </c>
    </row>
    <row r="568" spans="1:10" x14ac:dyDescent="0.25">
      <c r="A568">
        <v>567</v>
      </c>
      <c r="B568" s="2">
        <v>43267</v>
      </c>
      <c r="C568">
        <v>1</v>
      </c>
      <c r="D568" s="1" t="s">
        <v>14</v>
      </c>
      <c r="E568" s="1" t="s">
        <v>43</v>
      </c>
      <c r="F568" s="1" t="s">
        <v>16</v>
      </c>
      <c r="G568" s="1" t="s">
        <v>21</v>
      </c>
      <c r="H568">
        <v>159</v>
      </c>
      <c r="I568">
        <v>8</v>
      </c>
      <c r="J568">
        <v>1272</v>
      </c>
    </row>
    <row r="569" spans="1:10" x14ac:dyDescent="0.25">
      <c r="A569">
        <v>568</v>
      </c>
      <c r="B569" s="2">
        <v>43267</v>
      </c>
      <c r="C569">
        <v>14</v>
      </c>
      <c r="D569" s="1" t="s">
        <v>30</v>
      </c>
      <c r="E569" s="1" t="s">
        <v>41</v>
      </c>
      <c r="F569" s="1" t="s">
        <v>12</v>
      </c>
      <c r="G569" s="1" t="s">
        <v>32</v>
      </c>
      <c r="H569">
        <v>399</v>
      </c>
      <c r="I569">
        <v>0</v>
      </c>
      <c r="J569">
        <v>0</v>
      </c>
    </row>
    <row r="570" spans="1:10" x14ac:dyDescent="0.25">
      <c r="A570">
        <v>569</v>
      </c>
      <c r="B570" s="2">
        <v>43268</v>
      </c>
      <c r="C570">
        <v>18</v>
      </c>
      <c r="D570" s="1" t="s">
        <v>22</v>
      </c>
      <c r="E570" s="1" t="s">
        <v>23</v>
      </c>
      <c r="F570" s="1" t="s">
        <v>24</v>
      </c>
      <c r="G570" s="1" t="s">
        <v>21</v>
      </c>
      <c r="H570">
        <v>159</v>
      </c>
      <c r="I570">
        <v>7</v>
      </c>
      <c r="J570">
        <v>1113</v>
      </c>
    </row>
    <row r="571" spans="1:10" x14ac:dyDescent="0.25">
      <c r="A571">
        <v>570</v>
      </c>
      <c r="B571" s="2">
        <v>43269</v>
      </c>
      <c r="C571">
        <v>3</v>
      </c>
      <c r="D571" s="1" t="s">
        <v>33</v>
      </c>
      <c r="E571" s="1" t="s">
        <v>43</v>
      </c>
      <c r="F571" s="1" t="s">
        <v>16</v>
      </c>
      <c r="G571" s="1" t="s">
        <v>17</v>
      </c>
      <c r="H571">
        <v>289</v>
      </c>
      <c r="I571">
        <v>3</v>
      </c>
      <c r="J571">
        <v>867</v>
      </c>
    </row>
    <row r="572" spans="1:10" x14ac:dyDescent="0.25">
      <c r="A572">
        <v>571</v>
      </c>
      <c r="B572" s="2">
        <v>43269</v>
      </c>
      <c r="C572">
        <v>3</v>
      </c>
      <c r="D572" s="1" t="s">
        <v>33</v>
      </c>
      <c r="E572" s="1" t="s">
        <v>43</v>
      </c>
      <c r="F572" s="1" t="s">
        <v>16</v>
      </c>
      <c r="G572" s="1" t="s">
        <v>17</v>
      </c>
      <c r="H572">
        <v>289</v>
      </c>
      <c r="I572">
        <v>1</v>
      </c>
      <c r="J572">
        <v>289</v>
      </c>
    </row>
    <row r="573" spans="1:10" x14ac:dyDescent="0.25">
      <c r="A573">
        <v>572</v>
      </c>
      <c r="B573" s="2">
        <v>43269</v>
      </c>
      <c r="C573">
        <v>11</v>
      </c>
      <c r="D573" s="1" t="s">
        <v>10</v>
      </c>
      <c r="E573" s="1" t="s">
        <v>41</v>
      </c>
      <c r="F573" s="1" t="s">
        <v>12</v>
      </c>
      <c r="G573" s="1" t="s">
        <v>21</v>
      </c>
      <c r="H573">
        <v>159</v>
      </c>
      <c r="I573">
        <v>4</v>
      </c>
      <c r="J573">
        <v>636</v>
      </c>
    </row>
    <row r="574" spans="1:10" x14ac:dyDescent="0.25">
      <c r="A574">
        <v>573</v>
      </c>
      <c r="B574" s="2">
        <v>43270</v>
      </c>
      <c r="C574">
        <v>20</v>
      </c>
      <c r="D574" s="1" t="s">
        <v>31</v>
      </c>
      <c r="E574" s="1" t="s">
        <v>23</v>
      </c>
      <c r="F574" s="1" t="s">
        <v>24</v>
      </c>
      <c r="G574" s="1" t="s">
        <v>32</v>
      </c>
      <c r="H574">
        <v>399</v>
      </c>
      <c r="I574">
        <v>5</v>
      </c>
      <c r="J574">
        <v>1995</v>
      </c>
    </row>
    <row r="575" spans="1:10" x14ac:dyDescent="0.25">
      <c r="A575">
        <v>574</v>
      </c>
      <c r="B575" s="2">
        <v>43271</v>
      </c>
      <c r="C575">
        <v>5</v>
      </c>
      <c r="D575" s="1" t="s">
        <v>40</v>
      </c>
      <c r="E575" s="1" t="s">
        <v>15</v>
      </c>
      <c r="F575" s="1" t="s">
        <v>16</v>
      </c>
      <c r="G575" s="1" t="s">
        <v>21</v>
      </c>
      <c r="H575">
        <v>159</v>
      </c>
      <c r="I575">
        <v>3</v>
      </c>
      <c r="J575">
        <v>477</v>
      </c>
    </row>
    <row r="576" spans="1:10" x14ac:dyDescent="0.25">
      <c r="A576">
        <v>575</v>
      </c>
      <c r="B576" s="2">
        <v>43271</v>
      </c>
      <c r="C576">
        <v>18</v>
      </c>
      <c r="D576" s="1" t="s">
        <v>22</v>
      </c>
      <c r="E576" s="1" t="s">
        <v>29</v>
      </c>
      <c r="F576" s="1" t="s">
        <v>24</v>
      </c>
      <c r="G576" s="1" t="s">
        <v>26</v>
      </c>
      <c r="H576">
        <v>69</v>
      </c>
      <c r="I576">
        <v>1</v>
      </c>
      <c r="J576">
        <v>69</v>
      </c>
    </row>
    <row r="577" spans="1:10" x14ac:dyDescent="0.25">
      <c r="A577">
        <v>576</v>
      </c>
      <c r="B577" s="2">
        <v>43271</v>
      </c>
      <c r="C577">
        <v>4</v>
      </c>
      <c r="D577" s="1" t="s">
        <v>37</v>
      </c>
      <c r="E577" s="1" t="s">
        <v>43</v>
      </c>
      <c r="F577" s="1" t="s">
        <v>16</v>
      </c>
      <c r="G577" s="1" t="s">
        <v>26</v>
      </c>
      <c r="H577">
        <v>69</v>
      </c>
      <c r="I577">
        <v>3</v>
      </c>
      <c r="J577">
        <v>207</v>
      </c>
    </row>
    <row r="578" spans="1:10" x14ac:dyDescent="0.25">
      <c r="A578">
        <v>577</v>
      </c>
      <c r="B578" s="2">
        <v>43271</v>
      </c>
      <c r="C578">
        <v>12</v>
      </c>
      <c r="D578" s="1" t="s">
        <v>42</v>
      </c>
      <c r="E578" s="1" t="s">
        <v>11</v>
      </c>
      <c r="F578" s="1" t="s">
        <v>12</v>
      </c>
      <c r="G578" s="1" t="s">
        <v>21</v>
      </c>
      <c r="H578">
        <v>159</v>
      </c>
      <c r="I578">
        <v>6</v>
      </c>
      <c r="J578">
        <v>954</v>
      </c>
    </row>
    <row r="579" spans="1:10" x14ac:dyDescent="0.25">
      <c r="A579">
        <v>578</v>
      </c>
      <c r="B579" s="2">
        <v>43272</v>
      </c>
      <c r="C579">
        <v>14</v>
      </c>
      <c r="D579" s="1" t="s">
        <v>30</v>
      </c>
      <c r="E579" s="1" t="s">
        <v>11</v>
      </c>
      <c r="F579" s="1" t="s">
        <v>12</v>
      </c>
      <c r="G579" s="1" t="s">
        <v>32</v>
      </c>
      <c r="H579">
        <v>399</v>
      </c>
      <c r="I579">
        <v>9</v>
      </c>
      <c r="J579">
        <v>3591</v>
      </c>
    </row>
    <row r="580" spans="1:10" x14ac:dyDescent="0.25">
      <c r="A580">
        <v>579</v>
      </c>
      <c r="B580" s="2">
        <v>43273</v>
      </c>
      <c r="C580">
        <v>7</v>
      </c>
      <c r="D580" s="1" t="s">
        <v>44</v>
      </c>
      <c r="E580" s="1" t="s">
        <v>19</v>
      </c>
      <c r="F580" s="1" t="s">
        <v>20</v>
      </c>
      <c r="G580" s="1" t="s">
        <v>32</v>
      </c>
      <c r="H580">
        <v>399</v>
      </c>
      <c r="I580">
        <v>0</v>
      </c>
      <c r="J580">
        <v>0</v>
      </c>
    </row>
    <row r="581" spans="1:10" x14ac:dyDescent="0.25">
      <c r="A581">
        <v>580</v>
      </c>
      <c r="B581" s="2">
        <v>43273</v>
      </c>
      <c r="C581">
        <v>15</v>
      </c>
      <c r="D581" s="1" t="s">
        <v>46</v>
      </c>
      <c r="E581" s="1" t="s">
        <v>41</v>
      </c>
      <c r="F581" s="1" t="s">
        <v>12</v>
      </c>
      <c r="G581" s="1" t="s">
        <v>21</v>
      </c>
      <c r="H581">
        <v>159</v>
      </c>
      <c r="I581">
        <v>6</v>
      </c>
      <c r="J581">
        <v>954</v>
      </c>
    </row>
    <row r="582" spans="1:10" x14ac:dyDescent="0.25">
      <c r="A582">
        <v>581</v>
      </c>
      <c r="B582" s="2">
        <v>43273</v>
      </c>
      <c r="C582">
        <v>15</v>
      </c>
      <c r="D582" s="1" t="s">
        <v>46</v>
      </c>
      <c r="E582" s="1" t="s">
        <v>11</v>
      </c>
      <c r="F582" s="1" t="s">
        <v>12</v>
      </c>
      <c r="G582" s="1" t="s">
        <v>21</v>
      </c>
      <c r="H582">
        <v>159</v>
      </c>
      <c r="I582">
        <v>8</v>
      </c>
      <c r="J582">
        <v>1272</v>
      </c>
    </row>
    <row r="583" spans="1:10" x14ac:dyDescent="0.25">
      <c r="A583">
        <v>582</v>
      </c>
      <c r="B583" s="2">
        <v>43273</v>
      </c>
      <c r="C583">
        <v>15</v>
      </c>
      <c r="D583" s="1" t="s">
        <v>46</v>
      </c>
      <c r="E583" s="1" t="s">
        <v>41</v>
      </c>
      <c r="F583" s="1" t="s">
        <v>12</v>
      </c>
      <c r="G583" s="1" t="s">
        <v>32</v>
      </c>
      <c r="H583">
        <v>399</v>
      </c>
      <c r="I583">
        <v>4</v>
      </c>
      <c r="J583">
        <v>1596</v>
      </c>
    </row>
    <row r="584" spans="1:10" x14ac:dyDescent="0.25">
      <c r="A584">
        <v>583</v>
      </c>
      <c r="B584" s="2">
        <v>43273</v>
      </c>
      <c r="C584">
        <v>10</v>
      </c>
      <c r="D584" s="1" t="s">
        <v>39</v>
      </c>
      <c r="E584" s="1" t="s">
        <v>35</v>
      </c>
      <c r="F584" s="1" t="s">
        <v>20</v>
      </c>
      <c r="G584" s="1" t="s">
        <v>32</v>
      </c>
      <c r="H584">
        <v>399</v>
      </c>
      <c r="I584">
        <v>3</v>
      </c>
      <c r="J584">
        <v>1197</v>
      </c>
    </row>
    <row r="585" spans="1:10" x14ac:dyDescent="0.25">
      <c r="A585">
        <v>584</v>
      </c>
      <c r="B585" s="2">
        <v>43273</v>
      </c>
      <c r="C585">
        <v>18</v>
      </c>
      <c r="D585" s="1" t="s">
        <v>22</v>
      </c>
      <c r="E585" s="1" t="s">
        <v>29</v>
      </c>
      <c r="F585" s="1" t="s">
        <v>24</v>
      </c>
      <c r="G585" s="1" t="s">
        <v>26</v>
      </c>
      <c r="H585">
        <v>69</v>
      </c>
      <c r="I585">
        <v>0</v>
      </c>
      <c r="J585">
        <v>0</v>
      </c>
    </row>
    <row r="586" spans="1:10" x14ac:dyDescent="0.25">
      <c r="A586">
        <v>585</v>
      </c>
      <c r="B586" s="2">
        <v>43273</v>
      </c>
      <c r="C586">
        <v>5</v>
      </c>
      <c r="D586" s="1" t="s">
        <v>40</v>
      </c>
      <c r="E586" s="1" t="s">
        <v>15</v>
      </c>
      <c r="F586" s="1" t="s">
        <v>16</v>
      </c>
      <c r="G586" s="1" t="s">
        <v>13</v>
      </c>
      <c r="H586">
        <v>199</v>
      </c>
      <c r="I586">
        <v>1</v>
      </c>
      <c r="J586">
        <v>199</v>
      </c>
    </row>
    <row r="587" spans="1:10" x14ac:dyDescent="0.25">
      <c r="A587">
        <v>586</v>
      </c>
      <c r="B587" s="2">
        <v>43273</v>
      </c>
      <c r="C587">
        <v>4</v>
      </c>
      <c r="D587" s="1" t="s">
        <v>37</v>
      </c>
      <c r="E587" s="1" t="s">
        <v>15</v>
      </c>
      <c r="F587" s="1" t="s">
        <v>16</v>
      </c>
      <c r="G587" s="1" t="s">
        <v>17</v>
      </c>
      <c r="H587">
        <v>289</v>
      </c>
      <c r="I587">
        <v>5</v>
      </c>
      <c r="J587">
        <v>1445</v>
      </c>
    </row>
    <row r="588" spans="1:10" x14ac:dyDescent="0.25">
      <c r="A588">
        <v>587</v>
      </c>
      <c r="B588" s="2">
        <v>43273</v>
      </c>
      <c r="C588">
        <v>20</v>
      </c>
      <c r="D588" s="1" t="s">
        <v>31</v>
      </c>
      <c r="E588" s="1" t="s">
        <v>29</v>
      </c>
      <c r="F588" s="1" t="s">
        <v>24</v>
      </c>
      <c r="G588" s="1" t="s">
        <v>26</v>
      </c>
      <c r="H588">
        <v>69</v>
      </c>
      <c r="I588">
        <v>3</v>
      </c>
      <c r="J588">
        <v>207</v>
      </c>
    </row>
    <row r="589" spans="1:10" x14ac:dyDescent="0.25">
      <c r="A589">
        <v>588</v>
      </c>
      <c r="B589" s="2">
        <v>43274</v>
      </c>
      <c r="C589">
        <v>17</v>
      </c>
      <c r="D589" s="1" t="s">
        <v>28</v>
      </c>
      <c r="E589" s="1" t="s">
        <v>23</v>
      </c>
      <c r="F589" s="1" t="s">
        <v>24</v>
      </c>
      <c r="G589" s="1" t="s">
        <v>26</v>
      </c>
      <c r="H589">
        <v>69</v>
      </c>
      <c r="I589">
        <v>1</v>
      </c>
      <c r="J589">
        <v>69</v>
      </c>
    </row>
    <row r="590" spans="1:10" x14ac:dyDescent="0.25">
      <c r="A590">
        <v>589</v>
      </c>
      <c r="B590" s="2">
        <v>43275</v>
      </c>
      <c r="C590">
        <v>5</v>
      </c>
      <c r="D590" s="1" t="s">
        <v>40</v>
      </c>
      <c r="E590" s="1" t="s">
        <v>15</v>
      </c>
      <c r="F590" s="1" t="s">
        <v>16</v>
      </c>
      <c r="G590" s="1" t="s">
        <v>32</v>
      </c>
      <c r="H590">
        <v>399</v>
      </c>
      <c r="I590">
        <v>3</v>
      </c>
      <c r="J590">
        <v>1197</v>
      </c>
    </row>
    <row r="591" spans="1:10" x14ac:dyDescent="0.25">
      <c r="A591">
        <v>590</v>
      </c>
      <c r="B591" s="2">
        <v>43275</v>
      </c>
      <c r="C591">
        <v>18</v>
      </c>
      <c r="D591" s="1" t="s">
        <v>22</v>
      </c>
      <c r="E591" s="1" t="s">
        <v>29</v>
      </c>
      <c r="F591" s="1" t="s">
        <v>24</v>
      </c>
      <c r="G591" s="1" t="s">
        <v>21</v>
      </c>
      <c r="H591">
        <v>159</v>
      </c>
      <c r="I591">
        <v>5</v>
      </c>
      <c r="J591">
        <v>795</v>
      </c>
    </row>
    <row r="592" spans="1:10" x14ac:dyDescent="0.25">
      <c r="A592">
        <v>591</v>
      </c>
      <c r="B592" s="2">
        <v>43276</v>
      </c>
      <c r="C592">
        <v>4</v>
      </c>
      <c r="D592" s="1" t="s">
        <v>37</v>
      </c>
      <c r="E592" s="1" t="s">
        <v>43</v>
      </c>
      <c r="F592" s="1" t="s">
        <v>16</v>
      </c>
      <c r="G592" s="1" t="s">
        <v>17</v>
      </c>
      <c r="H592">
        <v>289</v>
      </c>
      <c r="I592">
        <v>3</v>
      </c>
      <c r="J592">
        <v>867</v>
      </c>
    </row>
    <row r="593" spans="1:10" x14ac:dyDescent="0.25">
      <c r="A593">
        <v>592</v>
      </c>
      <c r="B593" s="2">
        <v>43277</v>
      </c>
      <c r="C593">
        <v>6</v>
      </c>
      <c r="D593" s="1" t="s">
        <v>36</v>
      </c>
      <c r="E593" s="1" t="s">
        <v>35</v>
      </c>
      <c r="F593" s="1" t="s">
        <v>20</v>
      </c>
      <c r="G593" s="1" t="s">
        <v>17</v>
      </c>
      <c r="H593">
        <v>289</v>
      </c>
      <c r="I593">
        <v>9</v>
      </c>
      <c r="J593">
        <v>2601</v>
      </c>
    </row>
    <row r="594" spans="1:10" x14ac:dyDescent="0.25">
      <c r="A594">
        <v>593</v>
      </c>
      <c r="B594" s="2">
        <v>43277</v>
      </c>
      <c r="C594">
        <v>17</v>
      </c>
      <c r="D594" s="1" t="s">
        <v>28</v>
      </c>
      <c r="E594" s="1" t="s">
        <v>23</v>
      </c>
      <c r="F594" s="1" t="s">
        <v>24</v>
      </c>
      <c r="G594" s="1" t="s">
        <v>26</v>
      </c>
      <c r="H594">
        <v>69</v>
      </c>
      <c r="I594">
        <v>9</v>
      </c>
      <c r="J594">
        <v>621</v>
      </c>
    </row>
    <row r="595" spans="1:10" x14ac:dyDescent="0.25">
      <c r="A595">
        <v>594</v>
      </c>
      <c r="B595" s="2">
        <v>43277</v>
      </c>
      <c r="C595">
        <v>2</v>
      </c>
      <c r="D595" s="1" t="s">
        <v>45</v>
      </c>
      <c r="E595" s="1" t="s">
        <v>43</v>
      </c>
      <c r="F595" s="1" t="s">
        <v>16</v>
      </c>
      <c r="G595" s="1" t="s">
        <v>17</v>
      </c>
      <c r="H595">
        <v>289</v>
      </c>
      <c r="I595">
        <v>1</v>
      </c>
      <c r="J595">
        <v>289</v>
      </c>
    </row>
    <row r="596" spans="1:10" x14ac:dyDescent="0.25">
      <c r="A596">
        <v>595</v>
      </c>
      <c r="B596" s="2">
        <v>43277</v>
      </c>
      <c r="C596">
        <v>10</v>
      </c>
      <c r="D596" s="1" t="s">
        <v>39</v>
      </c>
      <c r="E596" s="1" t="s">
        <v>35</v>
      </c>
      <c r="F596" s="1" t="s">
        <v>20</v>
      </c>
      <c r="G596" s="1" t="s">
        <v>13</v>
      </c>
      <c r="H596">
        <v>199</v>
      </c>
      <c r="I596">
        <v>6</v>
      </c>
      <c r="J596">
        <v>1194</v>
      </c>
    </row>
    <row r="597" spans="1:10" x14ac:dyDescent="0.25">
      <c r="A597">
        <v>596</v>
      </c>
      <c r="B597" s="2">
        <v>43277</v>
      </c>
      <c r="C597">
        <v>11</v>
      </c>
      <c r="D597" s="1" t="s">
        <v>10</v>
      </c>
      <c r="E597" s="1" t="s">
        <v>41</v>
      </c>
      <c r="F597" s="1" t="s">
        <v>12</v>
      </c>
      <c r="G597" s="1" t="s">
        <v>32</v>
      </c>
      <c r="H597">
        <v>399</v>
      </c>
      <c r="I597">
        <v>9</v>
      </c>
      <c r="J597">
        <v>3591</v>
      </c>
    </row>
    <row r="598" spans="1:10" x14ac:dyDescent="0.25">
      <c r="A598">
        <v>597</v>
      </c>
      <c r="B598" s="2">
        <v>43278</v>
      </c>
      <c r="C598">
        <v>4</v>
      </c>
      <c r="D598" s="1" t="s">
        <v>37</v>
      </c>
      <c r="E598" s="1" t="s">
        <v>15</v>
      </c>
      <c r="F598" s="1" t="s">
        <v>16</v>
      </c>
      <c r="G598" s="1" t="s">
        <v>26</v>
      </c>
      <c r="H598">
        <v>69</v>
      </c>
      <c r="I598">
        <v>8</v>
      </c>
      <c r="J598">
        <v>552</v>
      </c>
    </row>
    <row r="599" spans="1:10" x14ac:dyDescent="0.25">
      <c r="A599">
        <v>598</v>
      </c>
      <c r="B599" s="2">
        <v>43279</v>
      </c>
      <c r="C599">
        <v>10</v>
      </c>
      <c r="D599" s="1" t="s">
        <v>39</v>
      </c>
      <c r="E599" s="1" t="s">
        <v>19</v>
      </c>
      <c r="F599" s="1" t="s">
        <v>20</v>
      </c>
      <c r="G599" s="1" t="s">
        <v>32</v>
      </c>
      <c r="H599">
        <v>399</v>
      </c>
      <c r="I599">
        <v>9</v>
      </c>
      <c r="J599">
        <v>3591</v>
      </c>
    </row>
    <row r="600" spans="1:10" x14ac:dyDescent="0.25">
      <c r="A600">
        <v>599</v>
      </c>
      <c r="B600" s="2">
        <v>43279</v>
      </c>
      <c r="C600">
        <v>2</v>
      </c>
      <c r="D600" s="1" t="s">
        <v>45</v>
      </c>
      <c r="E600" s="1" t="s">
        <v>15</v>
      </c>
      <c r="F600" s="1" t="s">
        <v>16</v>
      </c>
      <c r="G600" s="1" t="s">
        <v>21</v>
      </c>
      <c r="H600">
        <v>159</v>
      </c>
      <c r="I600">
        <v>5</v>
      </c>
      <c r="J600">
        <v>795</v>
      </c>
    </row>
    <row r="601" spans="1:10" x14ac:dyDescent="0.25">
      <c r="A601">
        <v>600</v>
      </c>
      <c r="B601" s="2">
        <v>43279</v>
      </c>
      <c r="C601">
        <v>5</v>
      </c>
      <c r="D601" s="1" t="s">
        <v>40</v>
      </c>
      <c r="E601" s="1" t="s">
        <v>15</v>
      </c>
      <c r="F601" s="1" t="s">
        <v>16</v>
      </c>
      <c r="G601" s="1" t="s">
        <v>17</v>
      </c>
      <c r="H601">
        <v>289</v>
      </c>
      <c r="I601">
        <v>0</v>
      </c>
      <c r="J601">
        <v>0</v>
      </c>
    </row>
    <row r="602" spans="1:10" x14ac:dyDescent="0.25">
      <c r="A602">
        <v>601</v>
      </c>
      <c r="B602" s="2">
        <v>43279</v>
      </c>
      <c r="C602">
        <v>10</v>
      </c>
      <c r="D602" s="1" t="s">
        <v>39</v>
      </c>
      <c r="E602" s="1" t="s">
        <v>35</v>
      </c>
      <c r="F602" s="1" t="s">
        <v>20</v>
      </c>
      <c r="G602" s="1" t="s">
        <v>26</v>
      </c>
      <c r="H602">
        <v>69</v>
      </c>
      <c r="I602">
        <v>3</v>
      </c>
      <c r="J602">
        <v>207</v>
      </c>
    </row>
    <row r="603" spans="1:10" x14ac:dyDescent="0.25">
      <c r="A603">
        <v>602</v>
      </c>
      <c r="B603" s="2">
        <v>43279</v>
      </c>
      <c r="C603">
        <v>12</v>
      </c>
      <c r="D603" s="1" t="s">
        <v>42</v>
      </c>
      <c r="E603" s="1" t="s">
        <v>41</v>
      </c>
      <c r="F603" s="1" t="s">
        <v>12</v>
      </c>
      <c r="G603" s="1" t="s">
        <v>13</v>
      </c>
      <c r="H603">
        <v>199</v>
      </c>
      <c r="I603">
        <v>3</v>
      </c>
      <c r="J603">
        <v>597</v>
      </c>
    </row>
    <row r="604" spans="1:10" x14ac:dyDescent="0.25">
      <c r="A604">
        <v>603</v>
      </c>
      <c r="B604" s="2">
        <v>43279</v>
      </c>
      <c r="C604">
        <v>11</v>
      </c>
      <c r="D604" s="1" t="s">
        <v>10</v>
      </c>
      <c r="E604" s="1" t="s">
        <v>11</v>
      </c>
      <c r="F604" s="1" t="s">
        <v>12</v>
      </c>
      <c r="G604" s="1" t="s">
        <v>17</v>
      </c>
      <c r="H604">
        <v>289</v>
      </c>
      <c r="I604">
        <v>7</v>
      </c>
      <c r="J604">
        <v>2023</v>
      </c>
    </row>
    <row r="605" spans="1:10" x14ac:dyDescent="0.25">
      <c r="A605">
        <v>604</v>
      </c>
      <c r="B605" s="2">
        <v>43279</v>
      </c>
      <c r="C605">
        <v>1</v>
      </c>
      <c r="D605" s="1" t="s">
        <v>14</v>
      </c>
      <c r="E605" s="1" t="s">
        <v>43</v>
      </c>
      <c r="F605" s="1" t="s">
        <v>16</v>
      </c>
      <c r="G605" s="1" t="s">
        <v>17</v>
      </c>
      <c r="H605">
        <v>289</v>
      </c>
      <c r="I605">
        <v>8</v>
      </c>
      <c r="J605">
        <v>2312</v>
      </c>
    </row>
    <row r="606" spans="1:10" x14ac:dyDescent="0.25">
      <c r="A606">
        <v>605</v>
      </c>
      <c r="B606" s="2">
        <v>43280</v>
      </c>
      <c r="C606">
        <v>15</v>
      </c>
      <c r="D606" s="1" t="s">
        <v>46</v>
      </c>
      <c r="E606" s="1" t="s">
        <v>41</v>
      </c>
      <c r="F606" s="1" t="s">
        <v>12</v>
      </c>
      <c r="G606" s="1" t="s">
        <v>21</v>
      </c>
      <c r="H606">
        <v>159</v>
      </c>
      <c r="I606">
        <v>5</v>
      </c>
      <c r="J606">
        <v>795</v>
      </c>
    </row>
    <row r="607" spans="1:10" x14ac:dyDescent="0.25">
      <c r="A607">
        <v>606</v>
      </c>
      <c r="B607" s="2">
        <v>43281</v>
      </c>
      <c r="C607">
        <v>12</v>
      </c>
      <c r="D607" s="1" t="s">
        <v>42</v>
      </c>
      <c r="E607" s="1" t="s">
        <v>11</v>
      </c>
      <c r="F607" s="1" t="s">
        <v>12</v>
      </c>
      <c r="G607" s="1" t="s">
        <v>17</v>
      </c>
      <c r="H607">
        <v>289</v>
      </c>
      <c r="I607">
        <v>3</v>
      </c>
      <c r="J607">
        <v>867</v>
      </c>
    </row>
    <row r="608" spans="1:10" x14ac:dyDescent="0.25">
      <c r="A608">
        <v>607</v>
      </c>
      <c r="B608" s="2">
        <v>43281</v>
      </c>
      <c r="C608">
        <v>20</v>
      </c>
      <c r="D608" s="1" t="s">
        <v>31</v>
      </c>
      <c r="E608" s="1" t="s">
        <v>23</v>
      </c>
      <c r="F608" s="1" t="s">
        <v>24</v>
      </c>
      <c r="G608" s="1" t="s">
        <v>32</v>
      </c>
      <c r="H608">
        <v>399</v>
      </c>
      <c r="I608">
        <v>7</v>
      </c>
      <c r="J608">
        <v>2793</v>
      </c>
    </row>
    <row r="609" spans="1:10" x14ac:dyDescent="0.25">
      <c r="A609">
        <v>608</v>
      </c>
      <c r="B609" s="2">
        <v>43281</v>
      </c>
      <c r="C609">
        <v>12</v>
      </c>
      <c r="D609" s="1" t="s">
        <v>42</v>
      </c>
      <c r="E609" s="1" t="s">
        <v>11</v>
      </c>
      <c r="F609" s="1" t="s">
        <v>12</v>
      </c>
      <c r="G609" s="1" t="s">
        <v>26</v>
      </c>
      <c r="H609">
        <v>69</v>
      </c>
      <c r="I609">
        <v>4</v>
      </c>
      <c r="J609">
        <v>276</v>
      </c>
    </row>
    <row r="610" spans="1:10" x14ac:dyDescent="0.25">
      <c r="A610">
        <v>609</v>
      </c>
      <c r="B610" s="2">
        <v>43281</v>
      </c>
      <c r="C610">
        <v>19</v>
      </c>
      <c r="D610" s="1" t="s">
        <v>38</v>
      </c>
      <c r="E610" s="1" t="s">
        <v>23</v>
      </c>
      <c r="F610" s="1" t="s">
        <v>24</v>
      </c>
      <c r="G610" s="1" t="s">
        <v>26</v>
      </c>
      <c r="H610">
        <v>69</v>
      </c>
      <c r="I610">
        <v>4</v>
      </c>
      <c r="J610">
        <v>276</v>
      </c>
    </row>
    <row r="611" spans="1:10" x14ac:dyDescent="0.25">
      <c r="A611">
        <v>610</v>
      </c>
      <c r="B611" s="2">
        <v>43282</v>
      </c>
      <c r="C611">
        <v>12</v>
      </c>
      <c r="D611" s="1" t="s">
        <v>42</v>
      </c>
      <c r="E611" s="1" t="s">
        <v>41</v>
      </c>
      <c r="F611" s="1" t="s">
        <v>12</v>
      </c>
      <c r="G611" s="1" t="s">
        <v>26</v>
      </c>
      <c r="H611">
        <v>69</v>
      </c>
      <c r="I611">
        <v>8</v>
      </c>
      <c r="J611">
        <v>552</v>
      </c>
    </row>
    <row r="612" spans="1:10" x14ac:dyDescent="0.25">
      <c r="A612">
        <v>611</v>
      </c>
      <c r="B612" s="2">
        <v>43282</v>
      </c>
      <c r="C612">
        <v>10</v>
      </c>
      <c r="D612" s="1" t="s">
        <v>39</v>
      </c>
      <c r="E612" s="1" t="s">
        <v>35</v>
      </c>
      <c r="F612" s="1" t="s">
        <v>20</v>
      </c>
      <c r="G612" s="1" t="s">
        <v>17</v>
      </c>
      <c r="H612">
        <v>289</v>
      </c>
      <c r="I612">
        <v>9</v>
      </c>
      <c r="J612">
        <v>2601</v>
      </c>
    </row>
    <row r="613" spans="1:10" x14ac:dyDescent="0.25">
      <c r="A613">
        <v>612</v>
      </c>
      <c r="B613" s="2">
        <v>43282</v>
      </c>
      <c r="C613">
        <v>17</v>
      </c>
      <c r="D613" s="1" t="s">
        <v>28</v>
      </c>
      <c r="E613" s="1" t="s">
        <v>23</v>
      </c>
      <c r="F613" s="1" t="s">
        <v>24</v>
      </c>
      <c r="G613" s="1" t="s">
        <v>17</v>
      </c>
      <c r="H613">
        <v>289</v>
      </c>
      <c r="I613">
        <v>9</v>
      </c>
      <c r="J613">
        <v>2601</v>
      </c>
    </row>
    <row r="614" spans="1:10" x14ac:dyDescent="0.25">
      <c r="A614">
        <v>613</v>
      </c>
      <c r="B614" s="2">
        <v>43283</v>
      </c>
      <c r="C614">
        <v>15</v>
      </c>
      <c r="D614" s="1" t="s">
        <v>46</v>
      </c>
      <c r="E614" s="1" t="s">
        <v>41</v>
      </c>
      <c r="F614" s="1" t="s">
        <v>12</v>
      </c>
      <c r="G614" s="1" t="s">
        <v>26</v>
      </c>
      <c r="H614">
        <v>69</v>
      </c>
      <c r="I614">
        <v>2</v>
      </c>
      <c r="J614">
        <v>138</v>
      </c>
    </row>
    <row r="615" spans="1:10" x14ac:dyDescent="0.25">
      <c r="A615">
        <v>614</v>
      </c>
      <c r="B615" s="2">
        <v>43284</v>
      </c>
      <c r="C615">
        <v>20</v>
      </c>
      <c r="D615" s="1" t="s">
        <v>31</v>
      </c>
      <c r="E615" s="1" t="s">
        <v>29</v>
      </c>
      <c r="F615" s="1" t="s">
        <v>24</v>
      </c>
      <c r="G615" s="1" t="s">
        <v>17</v>
      </c>
      <c r="H615">
        <v>289</v>
      </c>
      <c r="I615">
        <v>0</v>
      </c>
      <c r="J615">
        <v>0</v>
      </c>
    </row>
    <row r="616" spans="1:10" x14ac:dyDescent="0.25">
      <c r="A616">
        <v>615</v>
      </c>
      <c r="B616" s="2">
        <v>43285</v>
      </c>
      <c r="C616">
        <v>10</v>
      </c>
      <c r="D616" s="1" t="s">
        <v>39</v>
      </c>
      <c r="E616" s="1" t="s">
        <v>19</v>
      </c>
      <c r="F616" s="1" t="s">
        <v>20</v>
      </c>
      <c r="G616" s="1" t="s">
        <v>21</v>
      </c>
      <c r="H616">
        <v>159</v>
      </c>
      <c r="I616">
        <v>2</v>
      </c>
      <c r="J616">
        <v>318</v>
      </c>
    </row>
    <row r="617" spans="1:10" x14ac:dyDescent="0.25">
      <c r="A617">
        <v>616</v>
      </c>
      <c r="B617" s="2">
        <v>43286</v>
      </c>
      <c r="C617">
        <v>11</v>
      </c>
      <c r="D617" s="1" t="s">
        <v>10</v>
      </c>
      <c r="E617" s="1" t="s">
        <v>41</v>
      </c>
      <c r="F617" s="1" t="s">
        <v>12</v>
      </c>
      <c r="G617" s="1" t="s">
        <v>26</v>
      </c>
      <c r="H617">
        <v>69</v>
      </c>
      <c r="I617">
        <v>7</v>
      </c>
      <c r="J617">
        <v>483</v>
      </c>
    </row>
    <row r="618" spans="1:10" x14ac:dyDescent="0.25">
      <c r="A618">
        <v>617</v>
      </c>
      <c r="B618" s="2">
        <v>43287</v>
      </c>
      <c r="C618">
        <v>19</v>
      </c>
      <c r="D618" s="1" t="s">
        <v>38</v>
      </c>
      <c r="E618" s="1" t="s">
        <v>29</v>
      </c>
      <c r="F618" s="1" t="s">
        <v>24</v>
      </c>
      <c r="G618" s="1" t="s">
        <v>13</v>
      </c>
      <c r="H618">
        <v>199</v>
      </c>
      <c r="I618">
        <v>8</v>
      </c>
      <c r="J618">
        <v>1592</v>
      </c>
    </row>
    <row r="619" spans="1:10" x14ac:dyDescent="0.25">
      <c r="A619">
        <v>618</v>
      </c>
      <c r="B619" s="2">
        <v>43287</v>
      </c>
      <c r="C619">
        <v>19</v>
      </c>
      <c r="D619" s="1" t="s">
        <v>38</v>
      </c>
      <c r="E619" s="1" t="s">
        <v>29</v>
      </c>
      <c r="F619" s="1" t="s">
        <v>24</v>
      </c>
      <c r="G619" s="1" t="s">
        <v>32</v>
      </c>
      <c r="H619">
        <v>399</v>
      </c>
      <c r="I619">
        <v>0</v>
      </c>
      <c r="J619">
        <v>0</v>
      </c>
    </row>
    <row r="620" spans="1:10" x14ac:dyDescent="0.25">
      <c r="A620">
        <v>619</v>
      </c>
      <c r="B620" s="2">
        <v>43288</v>
      </c>
      <c r="C620">
        <v>17</v>
      </c>
      <c r="D620" s="1" t="s">
        <v>28</v>
      </c>
      <c r="E620" s="1" t="s">
        <v>29</v>
      </c>
      <c r="F620" s="1" t="s">
        <v>24</v>
      </c>
      <c r="G620" s="1" t="s">
        <v>17</v>
      </c>
      <c r="H620">
        <v>289</v>
      </c>
      <c r="I620">
        <v>6</v>
      </c>
      <c r="J620">
        <v>1734</v>
      </c>
    </row>
    <row r="621" spans="1:10" x14ac:dyDescent="0.25">
      <c r="A621">
        <v>620</v>
      </c>
      <c r="B621" s="2">
        <v>43288</v>
      </c>
      <c r="C621">
        <v>20</v>
      </c>
      <c r="D621" s="1" t="s">
        <v>31</v>
      </c>
      <c r="E621" s="1" t="s">
        <v>29</v>
      </c>
      <c r="F621" s="1" t="s">
        <v>24</v>
      </c>
      <c r="G621" s="1" t="s">
        <v>21</v>
      </c>
      <c r="H621">
        <v>159</v>
      </c>
      <c r="I621">
        <v>9</v>
      </c>
      <c r="J621">
        <v>1431</v>
      </c>
    </row>
    <row r="622" spans="1:10" x14ac:dyDescent="0.25">
      <c r="A622">
        <v>621</v>
      </c>
      <c r="B622" s="2">
        <v>43288</v>
      </c>
      <c r="C622">
        <v>10</v>
      </c>
      <c r="D622" s="1" t="s">
        <v>39</v>
      </c>
      <c r="E622" s="1" t="s">
        <v>35</v>
      </c>
      <c r="F622" s="1" t="s">
        <v>20</v>
      </c>
      <c r="G622" s="1" t="s">
        <v>21</v>
      </c>
      <c r="H622">
        <v>159</v>
      </c>
      <c r="I622">
        <v>7</v>
      </c>
      <c r="J622">
        <v>1113</v>
      </c>
    </row>
    <row r="623" spans="1:10" x14ac:dyDescent="0.25">
      <c r="A623">
        <v>622</v>
      </c>
      <c r="B623" s="2">
        <v>43288</v>
      </c>
      <c r="C623">
        <v>13</v>
      </c>
      <c r="D623" s="1" t="s">
        <v>27</v>
      </c>
      <c r="E623" s="1" t="s">
        <v>41</v>
      </c>
      <c r="F623" s="1" t="s">
        <v>12</v>
      </c>
      <c r="G623" s="1" t="s">
        <v>21</v>
      </c>
      <c r="H623">
        <v>159</v>
      </c>
      <c r="I623">
        <v>9</v>
      </c>
      <c r="J623">
        <v>1431</v>
      </c>
    </row>
    <row r="624" spans="1:10" x14ac:dyDescent="0.25">
      <c r="A624">
        <v>623</v>
      </c>
      <c r="B624" s="2">
        <v>43288</v>
      </c>
      <c r="C624">
        <v>14</v>
      </c>
      <c r="D624" s="1" t="s">
        <v>30</v>
      </c>
      <c r="E624" s="1" t="s">
        <v>41</v>
      </c>
      <c r="F624" s="1" t="s">
        <v>12</v>
      </c>
      <c r="G624" s="1" t="s">
        <v>13</v>
      </c>
      <c r="H624">
        <v>199</v>
      </c>
      <c r="I624">
        <v>0</v>
      </c>
      <c r="J624">
        <v>0</v>
      </c>
    </row>
    <row r="625" spans="1:10" x14ac:dyDescent="0.25">
      <c r="A625">
        <v>624</v>
      </c>
      <c r="B625" s="2">
        <v>43289</v>
      </c>
      <c r="C625">
        <v>3</v>
      </c>
      <c r="D625" s="1" t="s">
        <v>33</v>
      </c>
      <c r="E625" s="1" t="s">
        <v>43</v>
      </c>
      <c r="F625" s="1" t="s">
        <v>16</v>
      </c>
      <c r="G625" s="1" t="s">
        <v>13</v>
      </c>
      <c r="H625">
        <v>199</v>
      </c>
      <c r="I625">
        <v>4</v>
      </c>
      <c r="J625">
        <v>796</v>
      </c>
    </row>
    <row r="626" spans="1:10" x14ac:dyDescent="0.25">
      <c r="A626">
        <v>625</v>
      </c>
      <c r="B626" s="2">
        <v>43289</v>
      </c>
      <c r="C626">
        <v>17</v>
      </c>
      <c r="D626" s="1" t="s">
        <v>28</v>
      </c>
      <c r="E626" s="1" t="s">
        <v>23</v>
      </c>
      <c r="F626" s="1" t="s">
        <v>24</v>
      </c>
      <c r="G626" s="1" t="s">
        <v>32</v>
      </c>
      <c r="H626">
        <v>399</v>
      </c>
      <c r="I626">
        <v>8</v>
      </c>
      <c r="J626">
        <v>3192</v>
      </c>
    </row>
    <row r="627" spans="1:10" x14ac:dyDescent="0.25">
      <c r="A627">
        <v>626</v>
      </c>
      <c r="B627" s="2">
        <v>43289</v>
      </c>
      <c r="C627">
        <v>1</v>
      </c>
      <c r="D627" s="1" t="s">
        <v>14</v>
      </c>
      <c r="E627" s="1" t="s">
        <v>15</v>
      </c>
      <c r="F627" s="1" t="s">
        <v>16</v>
      </c>
      <c r="G627" s="1" t="s">
        <v>17</v>
      </c>
      <c r="H627">
        <v>289</v>
      </c>
      <c r="I627">
        <v>0</v>
      </c>
      <c r="J627">
        <v>0</v>
      </c>
    </row>
    <row r="628" spans="1:10" x14ac:dyDescent="0.25">
      <c r="A628">
        <v>627</v>
      </c>
      <c r="B628" s="2">
        <v>43289</v>
      </c>
      <c r="C628">
        <v>18</v>
      </c>
      <c r="D628" s="1" t="s">
        <v>22</v>
      </c>
      <c r="E628" s="1" t="s">
        <v>23</v>
      </c>
      <c r="F628" s="1" t="s">
        <v>24</v>
      </c>
      <c r="G628" s="1" t="s">
        <v>26</v>
      </c>
      <c r="H628">
        <v>69</v>
      </c>
      <c r="I628">
        <v>4</v>
      </c>
      <c r="J628">
        <v>276</v>
      </c>
    </row>
    <row r="629" spans="1:10" x14ac:dyDescent="0.25">
      <c r="A629">
        <v>628</v>
      </c>
      <c r="B629" s="2">
        <v>43289</v>
      </c>
      <c r="C629">
        <v>14</v>
      </c>
      <c r="D629" s="1" t="s">
        <v>30</v>
      </c>
      <c r="E629" s="1" t="s">
        <v>11</v>
      </c>
      <c r="F629" s="1" t="s">
        <v>12</v>
      </c>
      <c r="G629" s="1" t="s">
        <v>32</v>
      </c>
      <c r="H629">
        <v>399</v>
      </c>
      <c r="I629">
        <v>5</v>
      </c>
      <c r="J629">
        <v>1995</v>
      </c>
    </row>
    <row r="630" spans="1:10" x14ac:dyDescent="0.25">
      <c r="A630">
        <v>629</v>
      </c>
      <c r="B630" s="2">
        <v>43289</v>
      </c>
      <c r="C630">
        <v>2</v>
      </c>
      <c r="D630" s="1" t="s">
        <v>45</v>
      </c>
      <c r="E630" s="1" t="s">
        <v>43</v>
      </c>
      <c r="F630" s="1" t="s">
        <v>16</v>
      </c>
      <c r="G630" s="1" t="s">
        <v>26</v>
      </c>
      <c r="H630">
        <v>69</v>
      </c>
      <c r="I630">
        <v>6</v>
      </c>
      <c r="J630">
        <v>414</v>
      </c>
    </row>
    <row r="631" spans="1:10" x14ac:dyDescent="0.25">
      <c r="A631">
        <v>630</v>
      </c>
      <c r="B631" s="2">
        <v>43290</v>
      </c>
      <c r="C631">
        <v>10</v>
      </c>
      <c r="D631" s="1" t="s">
        <v>39</v>
      </c>
      <c r="E631" s="1" t="s">
        <v>19</v>
      </c>
      <c r="F631" s="1" t="s">
        <v>20</v>
      </c>
      <c r="G631" s="1" t="s">
        <v>21</v>
      </c>
      <c r="H631">
        <v>159</v>
      </c>
      <c r="I631">
        <v>3</v>
      </c>
      <c r="J631">
        <v>477</v>
      </c>
    </row>
    <row r="632" spans="1:10" x14ac:dyDescent="0.25">
      <c r="A632">
        <v>631</v>
      </c>
      <c r="B632" s="2">
        <v>43291</v>
      </c>
      <c r="C632">
        <v>13</v>
      </c>
      <c r="D632" s="1" t="s">
        <v>27</v>
      </c>
      <c r="E632" s="1" t="s">
        <v>11</v>
      </c>
      <c r="F632" s="1" t="s">
        <v>12</v>
      </c>
      <c r="G632" s="1" t="s">
        <v>13</v>
      </c>
      <c r="H632">
        <v>199</v>
      </c>
      <c r="I632">
        <v>4</v>
      </c>
      <c r="J632">
        <v>796</v>
      </c>
    </row>
    <row r="633" spans="1:10" x14ac:dyDescent="0.25">
      <c r="A633">
        <v>632</v>
      </c>
      <c r="B633" s="2">
        <v>43291</v>
      </c>
      <c r="C633">
        <v>17</v>
      </c>
      <c r="D633" s="1" t="s">
        <v>28</v>
      </c>
      <c r="E633" s="1" t="s">
        <v>23</v>
      </c>
      <c r="F633" s="1" t="s">
        <v>24</v>
      </c>
      <c r="G633" s="1" t="s">
        <v>26</v>
      </c>
      <c r="H633">
        <v>69</v>
      </c>
      <c r="I633">
        <v>3</v>
      </c>
      <c r="J633">
        <v>207</v>
      </c>
    </row>
    <row r="634" spans="1:10" x14ac:dyDescent="0.25">
      <c r="A634">
        <v>633</v>
      </c>
      <c r="B634" s="2">
        <v>43292</v>
      </c>
      <c r="C634">
        <v>20</v>
      </c>
      <c r="D634" s="1" t="s">
        <v>31</v>
      </c>
      <c r="E634" s="1" t="s">
        <v>23</v>
      </c>
      <c r="F634" s="1" t="s">
        <v>24</v>
      </c>
      <c r="G634" s="1" t="s">
        <v>21</v>
      </c>
      <c r="H634">
        <v>159</v>
      </c>
      <c r="I634">
        <v>3</v>
      </c>
      <c r="J634">
        <v>477</v>
      </c>
    </row>
    <row r="635" spans="1:10" x14ac:dyDescent="0.25">
      <c r="A635">
        <v>634</v>
      </c>
      <c r="B635" s="2">
        <v>43292</v>
      </c>
      <c r="C635">
        <v>5</v>
      </c>
      <c r="D635" s="1" t="s">
        <v>40</v>
      </c>
      <c r="E635" s="1" t="s">
        <v>15</v>
      </c>
      <c r="F635" s="1" t="s">
        <v>16</v>
      </c>
      <c r="G635" s="1" t="s">
        <v>32</v>
      </c>
      <c r="H635">
        <v>399</v>
      </c>
      <c r="I635">
        <v>0</v>
      </c>
      <c r="J635">
        <v>0</v>
      </c>
    </row>
    <row r="636" spans="1:10" x14ac:dyDescent="0.25">
      <c r="A636">
        <v>635</v>
      </c>
      <c r="B636" s="2">
        <v>43292</v>
      </c>
      <c r="C636">
        <v>3</v>
      </c>
      <c r="D636" s="1" t="s">
        <v>33</v>
      </c>
      <c r="E636" s="1" t="s">
        <v>15</v>
      </c>
      <c r="F636" s="1" t="s">
        <v>16</v>
      </c>
      <c r="G636" s="1" t="s">
        <v>21</v>
      </c>
      <c r="H636">
        <v>159</v>
      </c>
      <c r="I636">
        <v>5</v>
      </c>
      <c r="J636">
        <v>795</v>
      </c>
    </row>
    <row r="637" spans="1:10" x14ac:dyDescent="0.25">
      <c r="A637">
        <v>636</v>
      </c>
      <c r="B637" s="2">
        <v>43293</v>
      </c>
      <c r="C637">
        <v>16</v>
      </c>
      <c r="D637" s="1" t="s">
        <v>25</v>
      </c>
      <c r="E637" s="1" t="s">
        <v>23</v>
      </c>
      <c r="F637" s="1" t="s">
        <v>24</v>
      </c>
      <c r="G637" s="1" t="s">
        <v>26</v>
      </c>
      <c r="H637">
        <v>69</v>
      </c>
      <c r="I637">
        <v>5</v>
      </c>
      <c r="J637">
        <v>345</v>
      </c>
    </row>
    <row r="638" spans="1:10" x14ac:dyDescent="0.25">
      <c r="A638">
        <v>637</v>
      </c>
      <c r="B638" s="2">
        <v>43294</v>
      </c>
      <c r="C638">
        <v>17</v>
      </c>
      <c r="D638" s="1" t="s">
        <v>28</v>
      </c>
      <c r="E638" s="1" t="s">
        <v>23</v>
      </c>
      <c r="F638" s="1" t="s">
        <v>24</v>
      </c>
      <c r="G638" s="1" t="s">
        <v>21</v>
      </c>
      <c r="H638">
        <v>159</v>
      </c>
      <c r="I638">
        <v>6</v>
      </c>
      <c r="J638">
        <v>954</v>
      </c>
    </row>
    <row r="639" spans="1:10" x14ac:dyDescent="0.25">
      <c r="A639">
        <v>638</v>
      </c>
      <c r="B639" s="2">
        <v>43294</v>
      </c>
      <c r="C639">
        <v>11</v>
      </c>
      <c r="D639" s="1" t="s">
        <v>10</v>
      </c>
      <c r="E639" s="1" t="s">
        <v>11</v>
      </c>
      <c r="F639" s="1" t="s">
        <v>12</v>
      </c>
      <c r="G639" s="1" t="s">
        <v>21</v>
      </c>
      <c r="H639">
        <v>159</v>
      </c>
      <c r="I639">
        <v>5</v>
      </c>
      <c r="J639">
        <v>795</v>
      </c>
    </row>
    <row r="640" spans="1:10" x14ac:dyDescent="0.25">
      <c r="A640">
        <v>639</v>
      </c>
      <c r="B640" s="2">
        <v>43294</v>
      </c>
      <c r="C640">
        <v>16</v>
      </c>
      <c r="D640" s="1" t="s">
        <v>25</v>
      </c>
      <c r="E640" s="1" t="s">
        <v>23</v>
      </c>
      <c r="F640" s="1" t="s">
        <v>24</v>
      </c>
      <c r="G640" s="1" t="s">
        <v>32</v>
      </c>
      <c r="H640">
        <v>399</v>
      </c>
      <c r="I640">
        <v>3</v>
      </c>
      <c r="J640">
        <v>1197</v>
      </c>
    </row>
    <row r="641" spans="1:10" x14ac:dyDescent="0.25">
      <c r="A641">
        <v>640</v>
      </c>
      <c r="B641" s="2">
        <v>43295</v>
      </c>
      <c r="C641">
        <v>20</v>
      </c>
      <c r="D641" s="1" t="s">
        <v>31</v>
      </c>
      <c r="E641" s="1" t="s">
        <v>29</v>
      </c>
      <c r="F641" s="1" t="s">
        <v>24</v>
      </c>
      <c r="G641" s="1" t="s">
        <v>17</v>
      </c>
      <c r="H641">
        <v>289</v>
      </c>
      <c r="I641">
        <v>4</v>
      </c>
      <c r="J641">
        <v>1156</v>
      </c>
    </row>
    <row r="642" spans="1:10" x14ac:dyDescent="0.25">
      <c r="A642">
        <v>641</v>
      </c>
      <c r="B642" s="2">
        <v>43295</v>
      </c>
      <c r="C642">
        <v>10</v>
      </c>
      <c r="D642" s="1" t="s">
        <v>39</v>
      </c>
      <c r="E642" s="1" t="s">
        <v>35</v>
      </c>
      <c r="F642" s="1" t="s">
        <v>20</v>
      </c>
      <c r="G642" s="1" t="s">
        <v>32</v>
      </c>
      <c r="H642">
        <v>399</v>
      </c>
      <c r="I642">
        <v>7</v>
      </c>
      <c r="J642">
        <v>2793</v>
      </c>
    </row>
    <row r="643" spans="1:10" x14ac:dyDescent="0.25">
      <c r="A643">
        <v>642</v>
      </c>
      <c r="B643" s="2">
        <v>43296</v>
      </c>
      <c r="C643">
        <v>10</v>
      </c>
      <c r="D643" s="1" t="s">
        <v>39</v>
      </c>
      <c r="E643" s="1" t="s">
        <v>35</v>
      </c>
      <c r="F643" s="1" t="s">
        <v>20</v>
      </c>
      <c r="G643" s="1" t="s">
        <v>32</v>
      </c>
      <c r="H643">
        <v>399</v>
      </c>
      <c r="I643">
        <v>9</v>
      </c>
      <c r="J643">
        <v>3591</v>
      </c>
    </row>
    <row r="644" spans="1:10" x14ac:dyDescent="0.25">
      <c r="A644">
        <v>643</v>
      </c>
      <c r="B644" s="2">
        <v>43296</v>
      </c>
      <c r="C644">
        <v>13</v>
      </c>
      <c r="D644" s="1" t="s">
        <v>27</v>
      </c>
      <c r="E644" s="1" t="s">
        <v>11</v>
      </c>
      <c r="F644" s="1" t="s">
        <v>12</v>
      </c>
      <c r="G644" s="1" t="s">
        <v>32</v>
      </c>
      <c r="H644">
        <v>399</v>
      </c>
      <c r="I644">
        <v>8</v>
      </c>
      <c r="J644">
        <v>3192</v>
      </c>
    </row>
    <row r="645" spans="1:10" x14ac:dyDescent="0.25">
      <c r="A645">
        <v>644</v>
      </c>
      <c r="B645" s="2">
        <v>43297</v>
      </c>
      <c r="C645">
        <v>6</v>
      </c>
      <c r="D645" s="1" t="s">
        <v>36</v>
      </c>
      <c r="E645" s="1" t="s">
        <v>35</v>
      </c>
      <c r="F645" s="1" t="s">
        <v>20</v>
      </c>
      <c r="G645" s="1" t="s">
        <v>13</v>
      </c>
      <c r="H645">
        <v>199</v>
      </c>
      <c r="I645">
        <v>6</v>
      </c>
      <c r="J645">
        <v>1194</v>
      </c>
    </row>
    <row r="646" spans="1:10" x14ac:dyDescent="0.25">
      <c r="A646">
        <v>645</v>
      </c>
      <c r="B646" s="2">
        <v>43297</v>
      </c>
      <c r="C646">
        <v>1</v>
      </c>
      <c r="D646" s="1" t="s">
        <v>14</v>
      </c>
      <c r="E646" s="1" t="s">
        <v>15</v>
      </c>
      <c r="F646" s="1" t="s">
        <v>16</v>
      </c>
      <c r="G646" s="1" t="s">
        <v>26</v>
      </c>
      <c r="H646">
        <v>69</v>
      </c>
      <c r="I646">
        <v>9</v>
      </c>
      <c r="J646">
        <v>621</v>
      </c>
    </row>
    <row r="647" spans="1:10" x14ac:dyDescent="0.25">
      <c r="A647">
        <v>646</v>
      </c>
      <c r="B647" s="2">
        <v>43297</v>
      </c>
      <c r="C647">
        <v>14</v>
      </c>
      <c r="D647" s="1" t="s">
        <v>30</v>
      </c>
      <c r="E647" s="1" t="s">
        <v>11</v>
      </c>
      <c r="F647" s="1" t="s">
        <v>12</v>
      </c>
      <c r="G647" s="1" t="s">
        <v>13</v>
      </c>
      <c r="H647">
        <v>199</v>
      </c>
      <c r="I647">
        <v>0</v>
      </c>
      <c r="J647">
        <v>0</v>
      </c>
    </row>
    <row r="648" spans="1:10" x14ac:dyDescent="0.25">
      <c r="A648">
        <v>647</v>
      </c>
      <c r="B648" s="2">
        <v>43297</v>
      </c>
      <c r="C648">
        <v>13</v>
      </c>
      <c r="D648" s="1" t="s">
        <v>27</v>
      </c>
      <c r="E648" s="1" t="s">
        <v>11</v>
      </c>
      <c r="F648" s="1" t="s">
        <v>12</v>
      </c>
      <c r="G648" s="1" t="s">
        <v>17</v>
      </c>
      <c r="H648">
        <v>289</v>
      </c>
      <c r="I648">
        <v>3</v>
      </c>
      <c r="J648">
        <v>867</v>
      </c>
    </row>
    <row r="649" spans="1:10" x14ac:dyDescent="0.25">
      <c r="A649">
        <v>648</v>
      </c>
      <c r="B649" s="2">
        <v>43297</v>
      </c>
      <c r="C649">
        <v>8</v>
      </c>
      <c r="D649" s="1" t="s">
        <v>34</v>
      </c>
      <c r="E649" s="1" t="s">
        <v>19</v>
      </c>
      <c r="F649" s="1" t="s">
        <v>20</v>
      </c>
      <c r="G649" s="1" t="s">
        <v>13</v>
      </c>
      <c r="H649">
        <v>199</v>
      </c>
      <c r="I649">
        <v>1</v>
      </c>
      <c r="J649">
        <v>199</v>
      </c>
    </row>
    <row r="650" spans="1:10" x14ac:dyDescent="0.25">
      <c r="A650">
        <v>649</v>
      </c>
      <c r="B650" s="2">
        <v>43298</v>
      </c>
      <c r="C650">
        <v>8</v>
      </c>
      <c r="D650" s="1" t="s">
        <v>34</v>
      </c>
      <c r="E650" s="1" t="s">
        <v>35</v>
      </c>
      <c r="F650" s="1" t="s">
        <v>20</v>
      </c>
      <c r="G650" s="1" t="s">
        <v>32</v>
      </c>
      <c r="H650">
        <v>399</v>
      </c>
      <c r="I650">
        <v>5</v>
      </c>
      <c r="J650">
        <v>1995</v>
      </c>
    </row>
    <row r="651" spans="1:10" x14ac:dyDescent="0.25">
      <c r="A651">
        <v>650</v>
      </c>
      <c r="B651" s="2">
        <v>43298</v>
      </c>
      <c r="C651">
        <v>13</v>
      </c>
      <c r="D651" s="1" t="s">
        <v>27</v>
      </c>
      <c r="E651" s="1" t="s">
        <v>41</v>
      </c>
      <c r="F651" s="1" t="s">
        <v>12</v>
      </c>
      <c r="G651" s="1" t="s">
        <v>17</v>
      </c>
      <c r="H651">
        <v>289</v>
      </c>
      <c r="I651">
        <v>3</v>
      </c>
      <c r="J651">
        <v>867</v>
      </c>
    </row>
    <row r="652" spans="1:10" x14ac:dyDescent="0.25">
      <c r="A652">
        <v>651</v>
      </c>
      <c r="B652" s="2">
        <v>43298</v>
      </c>
      <c r="C652">
        <v>17</v>
      </c>
      <c r="D652" s="1" t="s">
        <v>28</v>
      </c>
      <c r="E652" s="1" t="s">
        <v>29</v>
      </c>
      <c r="F652" s="1" t="s">
        <v>24</v>
      </c>
      <c r="G652" s="1" t="s">
        <v>21</v>
      </c>
      <c r="H652">
        <v>159</v>
      </c>
      <c r="I652">
        <v>2</v>
      </c>
      <c r="J652">
        <v>318</v>
      </c>
    </row>
    <row r="653" spans="1:10" x14ac:dyDescent="0.25">
      <c r="A653">
        <v>652</v>
      </c>
      <c r="B653" s="2">
        <v>43298</v>
      </c>
      <c r="C653">
        <v>15</v>
      </c>
      <c r="D653" s="1" t="s">
        <v>46</v>
      </c>
      <c r="E653" s="1" t="s">
        <v>41</v>
      </c>
      <c r="F653" s="1" t="s">
        <v>12</v>
      </c>
      <c r="G653" s="1" t="s">
        <v>21</v>
      </c>
      <c r="H653">
        <v>159</v>
      </c>
      <c r="I653">
        <v>3</v>
      </c>
      <c r="J653">
        <v>477</v>
      </c>
    </row>
    <row r="654" spans="1:10" x14ac:dyDescent="0.25">
      <c r="A654">
        <v>653</v>
      </c>
      <c r="B654" s="2">
        <v>43299</v>
      </c>
      <c r="C654">
        <v>5</v>
      </c>
      <c r="D654" s="1" t="s">
        <v>40</v>
      </c>
      <c r="E654" s="1" t="s">
        <v>43</v>
      </c>
      <c r="F654" s="1" t="s">
        <v>16</v>
      </c>
      <c r="G654" s="1" t="s">
        <v>21</v>
      </c>
      <c r="H654">
        <v>159</v>
      </c>
      <c r="I654">
        <v>1</v>
      </c>
      <c r="J654">
        <v>159</v>
      </c>
    </row>
    <row r="655" spans="1:10" x14ac:dyDescent="0.25">
      <c r="A655">
        <v>654</v>
      </c>
      <c r="B655" s="2">
        <v>43299</v>
      </c>
      <c r="C655">
        <v>1</v>
      </c>
      <c r="D655" s="1" t="s">
        <v>14</v>
      </c>
      <c r="E655" s="1" t="s">
        <v>15</v>
      </c>
      <c r="F655" s="1" t="s">
        <v>16</v>
      </c>
      <c r="G655" s="1" t="s">
        <v>26</v>
      </c>
      <c r="H655">
        <v>69</v>
      </c>
      <c r="I655">
        <v>0</v>
      </c>
      <c r="J655">
        <v>0</v>
      </c>
    </row>
    <row r="656" spans="1:10" x14ac:dyDescent="0.25">
      <c r="A656">
        <v>655</v>
      </c>
      <c r="B656" s="2">
        <v>43299</v>
      </c>
      <c r="C656">
        <v>2</v>
      </c>
      <c r="D656" s="1" t="s">
        <v>45</v>
      </c>
      <c r="E656" s="1" t="s">
        <v>15</v>
      </c>
      <c r="F656" s="1" t="s">
        <v>16</v>
      </c>
      <c r="G656" s="1" t="s">
        <v>17</v>
      </c>
      <c r="H656">
        <v>289</v>
      </c>
      <c r="I656">
        <v>2</v>
      </c>
      <c r="J656">
        <v>578</v>
      </c>
    </row>
    <row r="657" spans="1:10" x14ac:dyDescent="0.25">
      <c r="A657">
        <v>656</v>
      </c>
      <c r="B657" s="2">
        <v>43299</v>
      </c>
      <c r="C657">
        <v>12</v>
      </c>
      <c r="D657" s="1" t="s">
        <v>42</v>
      </c>
      <c r="E657" s="1" t="s">
        <v>41</v>
      </c>
      <c r="F657" s="1" t="s">
        <v>12</v>
      </c>
      <c r="G657" s="1" t="s">
        <v>21</v>
      </c>
      <c r="H657">
        <v>159</v>
      </c>
      <c r="I657">
        <v>5</v>
      </c>
      <c r="J657">
        <v>795</v>
      </c>
    </row>
    <row r="658" spans="1:10" x14ac:dyDescent="0.25">
      <c r="A658">
        <v>657</v>
      </c>
      <c r="B658" s="2">
        <v>43299</v>
      </c>
      <c r="C658">
        <v>6</v>
      </c>
      <c r="D658" s="1" t="s">
        <v>36</v>
      </c>
      <c r="E658" s="1" t="s">
        <v>35</v>
      </c>
      <c r="F658" s="1" t="s">
        <v>20</v>
      </c>
      <c r="G658" s="1" t="s">
        <v>26</v>
      </c>
      <c r="H658">
        <v>69</v>
      </c>
      <c r="I658">
        <v>3</v>
      </c>
      <c r="J658">
        <v>207</v>
      </c>
    </row>
    <row r="659" spans="1:10" x14ac:dyDescent="0.25">
      <c r="A659">
        <v>658</v>
      </c>
      <c r="B659" s="2">
        <v>43299</v>
      </c>
      <c r="C659">
        <v>5</v>
      </c>
      <c r="D659" s="1" t="s">
        <v>40</v>
      </c>
      <c r="E659" s="1" t="s">
        <v>15</v>
      </c>
      <c r="F659" s="1" t="s">
        <v>16</v>
      </c>
      <c r="G659" s="1" t="s">
        <v>21</v>
      </c>
      <c r="H659">
        <v>159</v>
      </c>
      <c r="I659">
        <v>9</v>
      </c>
      <c r="J659">
        <v>1431</v>
      </c>
    </row>
    <row r="660" spans="1:10" x14ac:dyDescent="0.25">
      <c r="A660">
        <v>659</v>
      </c>
      <c r="B660" s="2">
        <v>43300</v>
      </c>
      <c r="C660">
        <v>15</v>
      </c>
      <c r="D660" s="1" t="s">
        <v>46</v>
      </c>
      <c r="E660" s="1" t="s">
        <v>41</v>
      </c>
      <c r="F660" s="1" t="s">
        <v>12</v>
      </c>
      <c r="G660" s="1" t="s">
        <v>13</v>
      </c>
      <c r="H660">
        <v>199</v>
      </c>
      <c r="I660">
        <v>1</v>
      </c>
      <c r="J660">
        <v>199</v>
      </c>
    </row>
    <row r="661" spans="1:10" x14ac:dyDescent="0.25">
      <c r="A661">
        <v>660</v>
      </c>
      <c r="B661" s="2">
        <v>43300</v>
      </c>
      <c r="C661">
        <v>1</v>
      </c>
      <c r="D661" s="1" t="s">
        <v>14</v>
      </c>
      <c r="E661" s="1" t="s">
        <v>15</v>
      </c>
      <c r="F661" s="1" t="s">
        <v>16</v>
      </c>
      <c r="G661" s="1" t="s">
        <v>17</v>
      </c>
      <c r="H661">
        <v>289</v>
      </c>
      <c r="I661">
        <v>4</v>
      </c>
      <c r="J661">
        <v>1156</v>
      </c>
    </row>
    <row r="662" spans="1:10" x14ac:dyDescent="0.25">
      <c r="A662">
        <v>661</v>
      </c>
      <c r="B662" s="2">
        <v>43301</v>
      </c>
      <c r="C662">
        <v>16</v>
      </c>
      <c r="D662" s="1" t="s">
        <v>25</v>
      </c>
      <c r="E662" s="1" t="s">
        <v>23</v>
      </c>
      <c r="F662" s="1" t="s">
        <v>24</v>
      </c>
      <c r="G662" s="1" t="s">
        <v>21</v>
      </c>
      <c r="H662">
        <v>159</v>
      </c>
      <c r="I662">
        <v>3</v>
      </c>
      <c r="J662">
        <v>477</v>
      </c>
    </row>
    <row r="663" spans="1:10" x14ac:dyDescent="0.25">
      <c r="A663">
        <v>662</v>
      </c>
      <c r="B663" s="2">
        <v>43301</v>
      </c>
      <c r="C663">
        <v>9</v>
      </c>
      <c r="D663" s="1" t="s">
        <v>18</v>
      </c>
      <c r="E663" s="1" t="s">
        <v>35</v>
      </c>
      <c r="F663" s="1" t="s">
        <v>20</v>
      </c>
      <c r="G663" s="1" t="s">
        <v>26</v>
      </c>
      <c r="H663">
        <v>69</v>
      </c>
      <c r="I663">
        <v>2</v>
      </c>
      <c r="J663">
        <v>138</v>
      </c>
    </row>
    <row r="664" spans="1:10" x14ac:dyDescent="0.25">
      <c r="A664">
        <v>663</v>
      </c>
      <c r="B664" s="2">
        <v>43301</v>
      </c>
      <c r="C664">
        <v>20</v>
      </c>
      <c r="D664" s="1" t="s">
        <v>31</v>
      </c>
      <c r="E664" s="1" t="s">
        <v>23</v>
      </c>
      <c r="F664" s="1" t="s">
        <v>24</v>
      </c>
      <c r="G664" s="1" t="s">
        <v>21</v>
      </c>
      <c r="H664">
        <v>159</v>
      </c>
      <c r="I664">
        <v>4</v>
      </c>
      <c r="J664">
        <v>636</v>
      </c>
    </row>
    <row r="665" spans="1:10" x14ac:dyDescent="0.25">
      <c r="A665">
        <v>664</v>
      </c>
      <c r="B665" s="2">
        <v>43302</v>
      </c>
      <c r="C665">
        <v>14</v>
      </c>
      <c r="D665" s="1" t="s">
        <v>30</v>
      </c>
      <c r="E665" s="1" t="s">
        <v>41</v>
      </c>
      <c r="F665" s="1" t="s">
        <v>12</v>
      </c>
      <c r="G665" s="1" t="s">
        <v>32</v>
      </c>
      <c r="H665">
        <v>399</v>
      </c>
      <c r="I665">
        <v>5</v>
      </c>
      <c r="J665">
        <v>1995</v>
      </c>
    </row>
    <row r="666" spans="1:10" x14ac:dyDescent="0.25">
      <c r="A666">
        <v>665</v>
      </c>
      <c r="B666" s="2">
        <v>43303</v>
      </c>
      <c r="C666">
        <v>1</v>
      </c>
      <c r="D666" s="1" t="s">
        <v>14</v>
      </c>
      <c r="E666" s="1" t="s">
        <v>15</v>
      </c>
      <c r="F666" s="1" t="s">
        <v>16</v>
      </c>
      <c r="G666" s="1" t="s">
        <v>32</v>
      </c>
      <c r="H666">
        <v>399</v>
      </c>
      <c r="I666">
        <v>8</v>
      </c>
      <c r="J666">
        <v>3192</v>
      </c>
    </row>
    <row r="667" spans="1:10" x14ac:dyDescent="0.25">
      <c r="A667">
        <v>666</v>
      </c>
      <c r="B667" s="2">
        <v>43303</v>
      </c>
      <c r="C667">
        <v>13</v>
      </c>
      <c r="D667" s="1" t="s">
        <v>27</v>
      </c>
      <c r="E667" s="1" t="s">
        <v>41</v>
      </c>
      <c r="F667" s="1" t="s">
        <v>12</v>
      </c>
      <c r="G667" s="1" t="s">
        <v>26</v>
      </c>
      <c r="H667">
        <v>69</v>
      </c>
      <c r="I667">
        <v>0</v>
      </c>
      <c r="J667">
        <v>0</v>
      </c>
    </row>
    <row r="668" spans="1:10" x14ac:dyDescent="0.25">
      <c r="A668">
        <v>667</v>
      </c>
      <c r="B668" s="2">
        <v>43304</v>
      </c>
      <c r="C668">
        <v>14</v>
      </c>
      <c r="D668" s="1" t="s">
        <v>30</v>
      </c>
      <c r="E668" s="1" t="s">
        <v>41</v>
      </c>
      <c r="F668" s="1" t="s">
        <v>12</v>
      </c>
      <c r="G668" s="1" t="s">
        <v>26</v>
      </c>
      <c r="H668">
        <v>69</v>
      </c>
      <c r="I668">
        <v>8</v>
      </c>
      <c r="J668">
        <v>552</v>
      </c>
    </row>
    <row r="669" spans="1:10" x14ac:dyDescent="0.25">
      <c r="A669">
        <v>668</v>
      </c>
      <c r="B669" s="2">
        <v>43305</v>
      </c>
      <c r="C669">
        <v>10</v>
      </c>
      <c r="D669" s="1" t="s">
        <v>39</v>
      </c>
      <c r="E669" s="1" t="s">
        <v>19</v>
      </c>
      <c r="F669" s="1" t="s">
        <v>20</v>
      </c>
      <c r="G669" s="1" t="s">
        <v>26</v>
      </c>
      <c r="H669">
        <v>69</v>
      </c>
      <c r="I669">
        <v>2</v>
      </c>
      <c r="J669">
        <v>138</v>
      </c>
    </row>
    <row r="670" spans="1:10" x14ac:dyDescent="0.25">
      <c r="A670">
        <v>669</v>
      </c>
      <c r="B670" s="2">
        <v>43305</v>
      </c>
      <c r="C670">
        <v>9</v>
      </c>
      <c r="D670" s="1" t="s">
        <v>18</v>
      </c>
      <c r="E670" s="1" t="s">
        <v>19</v>
      </c>
      <c r="F670" s="1" t="s">
        <v>20</v>
      </c>
      <c r="G670" s="1" t="s">
        <v>32</v>
      </c>
      <c r="H670">
        <v>399</v>
      </c>
      <c r="I670">
        <v>6</v>
      </c>
      <c r="J670">
        <v>2394</v>
      </c>
    </row>
    <row r="671" spans="1:10" x14ac:dyDescent="0.25">
      <c r="A671">
        <v>670</v>
      </c>
      <c r="B671" s="2">
        <v>43305</v>
      </c>
      <c r="C671">
        <v>2</v>
      </c>
      <c r="D671" s="1" t="s">
        <v>45</v>
      </c>
      <c r="E671" s="1" t="s">
        <v>15</v>
      </c>
      <c r="F671" s="1" t="s">
        <v>16</v>
      </c>
      <c r="G671" s="1" t="s">
        <v>13</v>
      </c>
      <c r="H671">
        <v>199</v>
      </c>
      <c r="I671">
        <v>1</v>
      </c>
      <c r="J671">
        <v>199</v>
      </c>
    </row>
    <row r="672" spans="1:10" x14ac:dyDescent="0.25">
      <c r="A672">
        <v>671</v>
      </c>
      <c r="B672" s="2">
        <v>43305</v>
      </c>
      <c r="C672">
        <v>13</v>
      </c>
      <c r="D672" s="1" t="s">
        <v>27</v>
      </c>
      <c r="E672" s="1" t="s">
        <v>11</v>
      </c>
      <c r="F672" s="1" t="s">
        <v>12</v>
      </c>
      <c r="G672" s="1" t="s">
        <v>32</v>
      </c>
      <c r="H672">
        <v>399</v>
      </c>
      <c r="I672">
        <v>1</v>
      </c>
      <c r="J672">
        <v>399</v>
      </c>
    </row>
    <row r="673" spans="1:10" x14ac:dyDescent="0.25">
      <c r="A673">
        <v>672</v>
      </c>
      <c r="B673" s="2">
        <v>43306</v>
      </c>
      <c r="C673">
        <v>12</v>
      </c>
      <c r="D673" s="1" t="s">
        <v>42</v>
      </c>
      <c r="E673" s="1" t="s">
        <v>11</v>
      </c>
      <c r="F673" s="1" t="s">
        <v>12</v>
      </c>
      <c r="G673" s="1" t="s">
        <v>21</v>
      </c>
      <c r="H673">
        <v>159</v>
      </c>
      <c r="I673">
        <v>7</v>
      </c>
      <c r="J673">
        <v>1113</v>
      </c>
    </row>
    <row r="674" spans="1:10" x14ac:dyDescent="0.25">
      <c r="A674">
        <v>673</v>
      </c>
      <c r="B674" s="2">
        <v>43306</v>
      </c>
      <c r="C674">
        <v>17</v>
      </c>
      <c r="D674" s="1" t="s">
        <v>28</v>
      </c>
      <c r="E674" s="1" t="s">
        <v>23</v>
      </c>
      <c r="F674" s="1" t="s">
        <v>24</v>
      </c>
      <c r="G674" s="1" t="s">
        <v>21</v>
      </c>
      <c r="H674">
        <v>159</v>
      </c>
      <c r="I674">
        <v>8</v>
      </c>
      <c r="J674">
        <v>1272</v>
      </c>
    </row>
    <row r="675" spans="1:10" x14ac:dyDescent="0.25">
      <c r="A675">
        <v>674</v>
      </c>
      <c r="B675" s="2">
        <v>43307</v>
      </c>
      <c r="C675">
        <v>18</v>
      </c>
      <c r="D675" s="1" t="s">
        <v>22</v>
      </c>
      <c r="E675" s="1" t="s">
        <v>29</v>
      </c>
      <c r="F675" s="1" t="s">
        <v>24</v>
      </c>
      <c r="G675" s="1" t="s">
        <v>17</v>
      </c>
      <c r="H675">
        <v>289</v>
      </c>
      <c r="I675">
        <v>8</v>
      </c>
      <c r="J675">
        <v>2312</v>
      </c>
    </row>
    <row r="676" spans="1:10" x14ac:dyDescent="0.25">
      <c r="A676">
        <v>675</v>
      </c>
      <c r="B676" s="2">
        <v>43307</v>
      </c>
      <c r="C676">
        <v>13</v>
      </c>
      <c r="D676" s="1" t="s">
        <v>27</v>
      </c>
      <c r="E676" s="1" t="s">
        <v>11</v>
      </c>
      <c r="F676" s="1" t="s">
        <v>12</v>
      </c>
      <c r="G676" s="1" t="s">
        <v>21</v>
      </c>
      <c r="H676">
        <v>159</v>
      </c>
      <c r="I676">
        <v>4</v>
      </c>
      <c r="J676">
        <v>636</v>
      </c>
    </row>
    <row r="677" spans="1:10" x14ac:dyDescent="0.25">
      <c r="A677">
        <v>676</v>
      </c>
      <c r="B677" s="2">
        <v>43307</v>
      </c>
      <c r="C677">
        <v>15</v>
      </c>
      <c r="D677" s="1" t="s">
        <v>46</v>
      </c>
      <c r="E677" s="1" t="s">
        <v>11</v>
      </c>
      <c r="F677" s="1" t="s">
        <v>12</v>
      </c>
      <c r="G677" s="1" t="s">
        <v>26</v>
      </c>
      <c r="H677">
        <v>69</v>
      </c>
      <c r="I677">
        <v>4</v>
      </c>
      <c r="J677">
        <v>276</v>
      </c>
    </row>
    <row r="678" spans="1:10" x14ac:dyDescent="0.25">
      <c r="A678">
        <v>677</v>
      </c>
      <c r="B678" s="2">
        <v>43307</v>
      </c>
      <c r="C678">
        <v>15</v>
      </c>
      <c r="D678" s="1" t="s">
        <v>46</v>
      </c>
      <c r="E678" s="1" t="s">
        <v>11</v>
      </c>
      <c r="F678" s="1" t="s">
        <v>12</v>
      </c>
      <c r="G678" s="1" t="s">
        <v>21</v>
      </c>
      <c r="H678">
        <v>159</v>
      </c>
      <c r="I678">
        <v>9</v>
      </c>
      <c r="J678">
        <v>1431</v>
      </c>
    </row>
    <row r="679" spans="1:10" x14ac:dyDescent="0.25">
      <c r="A679">
        <v>678</v>
      </c>
      <c r="B679" s="2">
        <v>43307</v>
      </c>
      <c r="C679">
        <v>18</v>
      </c>
      <c r="D679" s="1" t="s">
        <v>22</v>
      </c>
      <c r="E679" s="1" t="s">
        <v>29</v>
      </c>
      <c r="F679" s="1" t="s">
        <v>24</v>
      </c>
      <c r="G679" s="1" t="s">
        <v>26</v>
      </c>
      <c r="H679">
        <v>69</v>
      </c>
      <c r="I679">
        <v>6</v>
      </c>
      <c r="J679">
        <v>414</v>
      </c>
    </row>
    <row r="680" spans="1:10" x14ac:dyDescent="0.25">
      <c r="A680">
        <v>679</v>
      </c>
      <c r="B680" s="2">
        <v>43307</v>
      </c>
      <c r="C680">
        <v>7</v>
      </c>
      <c r="D680" s="1" t="s">
        <v>44</v>
      </c>
      <c r="E680" s="1" t="s">
        <v>19</v>
      </c>
      <c r="F680" s="1" t="s">
        <v>20</v>
      </c>
      <c r="G680" s="1" t="s">
        <v>21</v>
      </c>
      <c r="H680">
        <v>159</v>
      </c>
      <c r="I680">
        <v>6</v>
      </c>
      <c r="J680">
        <v>954</v>
      </c>
    </row>
    <row r="681" spans="1:10" x14ac:dyDescent="0.25">
      <c r="A681">
        <v>680</v>
      </c>
      <c r="B681" s="2">
        <v>43307</v>
      </c>
      <c r="C681">
        <v>13</v>
      </c>
      <c r="D681" s="1" t="s">
        <v>27</v>
      </c>
      <c r="E681" s="1" t="s">
        <v>11</v>
      </c>
      <c r="F681" s="1" t="s">
        <v>12</v>
      </c>
      <c r="G681" s="1" t="s">
        <v>26</v>
      </c>
      <c r="H681">
        <v>69</v>
      </c>
      <c r="I681">
        <v>3</v>
      </c>
      <c r="J681">
        <v>207</v>
      </c>
    </row>
    <row r="682" spans="1:10" x14ac:dyDescent="0.25">
      <c r="A682">
        <v>681</v>
      </c>
      <c r="B682" s="2">
        <v>43307</v>
      </c>
      <c r="C682">
        <v>3</v>
      </c>
      <c r="D682" s="1" t="s">
        <v>33</v>
      </c>
      <c r="E682" s="1" t="s">
        <v>43</v>
      </c>
      <c r="F682" s="1" t="s">
        <v>16</v>
      </c>
      <c r="G682" s="1" t="s">
        <v>26</v>
      </c>
      <c r="H682">
        <v>69</v>
      </c>
      <c r="I682">
        <v>4</v>
      </c>
      <c r="J682">
        <v>276</v>
      </c>
    </row>
    <row r="683" spans="1:10" x14ac:dyDescent="0.25">
      <c r="A683">
        <v>682</v>
      </c>
      <c r="B683" s="2">
        <v>43308</v>
      </c>
      <c r="C683">
        <v>18</v>
      </c>
      <c r="D683" s="1" t="s">
        <v>22</v>
      </c>
      <c r="E683" s="1" t="s">
        <v>23</v>
      </c>
      <c r="F683" s="1" t="s">
        <v>24</v>
      </c>
      <c r="G683" s="1" t="s">
        <v>17</v>
      </c>
      <c r="H683">
        <v>289</v>
      </c>
      <c r="I683">
        <v>3</v>
      </c>
      <c r="J683">
        <v>867</v>
      </c>
    </row>
    <row r="684" spans="1:10" x14ac:dyDescent="0.25">
      <c r="A684">
        <v>683</v>
      </c>
      <c r="B684" s="2">
        <v>43308</v>
      </c>
      <c r="C684">
        <v>16</v>
      </c>
      <c r="D684" s="1" t="s">
        <v>25</v>
      </c>
      <c r="E684" s="1" t="s">
        <v>29</v>
      </c>
      <c r="F684" s="1" t="s">
        <v>24</v>
      </c>
      <c r="G684" s="1" t="s">
        <v>17</v>
      </c>
      <c r="H684">
        <v>289</v>
      </c>
      <c r="I684">
        <v>6</v>
      </c>
      <c r="J684">
        <v>1734</v>
      </c>
    </row>
    <row r="685" spans="1:10" x14ac:dyDescent="0.25">
      <c r="A685">
        <v>684</v>
      </c>
      <c r="B685" s="2">
        <v>43308</v>
      </c>
      <c r="C685">
        <v>18</v>
      </c>
      <c r="D685" s="1" t="s">
        <v>22</v>
      </c>
      <c r="E685" s="1" t="s">
        <v>23</v>
      </c>
      <c r="F685" s="1" t="s">
        <v>24</v>
      </c>
      <c r="G685" s="1" t="s">
        <v>21</v>
      </c>
      <c r="H685">
        <v>159</v>
      </c>
      <c r="I685">
        <v>3</v>
      </c>
      <c r="J685">
        <v>477</v>
      </c>
    </row>
    <row r="686" spans="1:10" x14ac:dyDescent="0.25">
      <c r="A686">
        <v>685</v>
      </c>
      <c r="B686" s="2">
        <v>43308</v>
      </c>
      <c r="C686">
        <v>11</v>
      </c>
      <c r="D686" s="1" t="s">
        <v>10</v>
      </c>
      <c r="E686" s="1" t="s">
        <v>41</v>
      </c>
      <c r="F686" s="1" t="s">
        <v>12</v>
      </c>
      <c r="G686" s="1" t="s">
        <v>13</v>
      </c>
      <c r="H686">
        <v>199</v>
      </c>
      <c r="I686">
        <v>4</v>
      </c>
      <c r="J686">
        <v>796</v>
      </c>
    </row>
    <row r="687" spans="1:10" x14ac:dyDescent="0.25">
      <c r="A687">
        <v>686</v>
      </c>
      <c r="B687" s="2">
        <v>43308</v>
      </c>
      <c r="C687">
        <v>1</v>
      </c>
      <c r="D687" s="1" t="s">
        <v>14</v>
      </c>
      <c r="E687" s="1" t="s">
        <v>43</v>
      </c>
      <c r="F687" s="1" t="s">
        <v>16</v>
      </c>
      <c r="G687" s="1" t="s">
        <v>26</v>
      </c>
      <c r="H687">
        <v>69</v>
      </c>
      <c r="I687">
        <v>1</v>
      </c>
      <c r="J687">
        <v>69</v>
      </c>
    </row>
    <row r="688" spans="1:10" x14ac:dyDescent="0.25">
      <c r="A688">
        <v>687</v>
      </c>
      <c r="B688" s="2">
        <v>43308</v>
      </c>
      <c r="C688">
        <v>15</v>
      </c>
      <c r="D688" s="1" t="s">
        <v>46</v>
      </c>
      <c r="E688" s="1" t="s">
        <v>41</v>
      </c>
      <c r="F688" s="1" t="s">
        <v>12</v>
      </c>
      <c r="G688" s="1" t="s">
        <v>26</v>
      </c>
      <c r="H688">
        <v>69</v>
      </c>
      <c r="I688">
        <v>0</v>
      </c>
      <c r="J688">
        <v>0</v>
      </c>
    </row>
    <row r="689" spans="1:10" x14ac:dyDescent="0.25">
      <c r="A689">
        <v>688</v>
      </c>
      <c r="B689" s="2">
        <v>43308</v>
      </c>
      <c r="C689">
        <v>19</v>
      </c>
      <c r="D689" s="1" t="s">
        <v>38</v>
      </c>
      <c r="E689" s="1" t="s">
        <v>23</v>
      </c>
      <c r="F689" s="1" t="s">
        <v>24</v>
      </c>
      <c r="G689" s="1" t="s">
        <v>13</v>
      </c>
      <c r="H689">
        <v>199</v>
      </c>
      <c r="I689">
        <v>5</v>
      </c>
      <c r="J689">
        <v>995</v>
      </c>
    </row>
    <row r="690" spans="1:10" x14ac:dyDescent="0.25">
      <c r="A690">
        <v>689</v>
      </c>
      <c r="B690" s="2">
        <v>43308</v>
      </c>
      <c r="C690">
        <v>19</v>
      </c>
      <c r="D690" s="1" t="s">
        <v>38</v>
      </c>
      <c r="E690" s="1" t="s">
        <v>29</v>
      </c>
      <c r="F690" s="1" t="s">
        <v>24</v>
      </c>
      <c r="G690" s="1" t="s">
        <v>21</v>
      </c>
      <c r="H690">
        <v>159</v>
      </c>
      <c r="I690">
        <v>8</v>
      </c>
      <c r="J690">
        <v>1272</v>
      </c>
    </row>
    <row r="691" spans="1:10" x14ac:dyDescent="0.25">
      <c r="A691">
        <v>690</v>
      </c>
      <c r="B691" s="2">
        <v>43308</v>
      </c>
      <c r="C691">
        <v>5</v>
      </c>
      <c r="D691" s="1" t="s">
        <v>40</v>
      </c>
      <c r="E691" s="1" t="s">
        <v>15</v>
      </c>
      <c r="F691" s="1" t="s">
        <v>16</v>
      </c>
      <c r="G691" s="1" t="s">
        <v>32</v>
      </c>
      <c r="H691">
        <v>399</v>
      </c>
      <c r="I691">
        <v>5</v>
      </c>
      <c r="J691">
        <v>1995</v>
      </c>
    </row>
    <row r="692" spans="1:10" x14ac:dyDescent="0.25">
      <c r="A692">
        <v>691</v>
      </c>
      <c r="B692" s="2">
        <v>43308</v>
      </c>
      <c r="C692">
        <v>19</v>
      </c>
      <c r="D692" s="1" t="s">
        <v>38</v>
      </c>
      <c r="E692" s="1" t="s">
        <v>23</v>
      </c>
      <c r="F692" s="1" t="s">
        <v>24</v>
      </c>
      <c r="G692" s="1" t="s">
        <v>17</v>
      </c>
      <c r="H692">
        <v>289</v>
      </c>
      <c r="I692">
        <v>2</v>
      </c>
      <c r="J692">
        <v>578</v>
      </c>
    </row>
    <row r="693" spans="1:10" x14ac:dyDescent="0.25">
      <c r="A693">
        <v>692</v>
      </c>
      <c r="B693" s="2">
        <v>43308</v>
      </c>
      <c r="C693">
        <v>7</v>
      </c>
      <c r="D693" s="1" t="s">
        <v>44</v>
      </c>
      <c r="E693" s="1" t="s">
        <v>35</v>
      </c>
      <c r="F693" s="1" t="s">
        <v>20</v>
      </c>
      <c r="G693" s="1" t="s">
        <v>17</v>
      </c>
      <c r="H693">
        <v>289</v>
      </c>
      <c r="I693">
        <v>4</v>
      </c>
      <c r="J693">
        <v>1156</v>
      </c>
    </row>
    <row r="694" spans="1:10" x14ac:dyDescent="0.25">
      <c r="A694">
        <v>693</v>
      </c>
      <c r="B694" s="2">
        <v>43308</v>
      </c>
      <c r="C694">
        <v>11</v>
      </c>
      <c r="D694" s="1" t="s">
        <v>10</v>
      </c>
      <c r="E694" s="1" t="s">
        <v>11</v>
      </c>
      <c r="F694" s="1" t="s">
        <v>12</v>
      </c>
      <c r="G694" s="1" t="s">
        <v>13</v>
      </c>
      <c r="H694">
        <v>199</v>
      </c>
      <c r="I694">
        <v>5</v>
      </c>
      <c r="J694">
        <v>995</v>
      </c>
    </row>
    <row r="695" spans="1:10" x14ac:dyDescent="0.25">
      <c r="A695">
        <v>694</v>
      </c>
      <c r="B695" s="2">
        <v>43308</v>
      </c>
      <c r="C695">
        <v>8</v>
      </c>
      <c r="D695" s="1" t="s">
        <v>34</v>
      </c>
      <c r="E695" s="1" t="s">
        <v>35</v>
      </c>
      <c r="F695" s="1" t="s">
        <v>20</v>
      </c>
      <c r="G695" s="1" t="s">
        <v>21</v>
      </c>
      <c r="H695">
        <v>159</v>
      </c>
      <c r="I695">
        <v>8</v>
      </c>
      <c r="J695">
        <v>1272</v>
      </c>
    </row>
    <row r="696" spans="1:10" x14ac:dyDescent="0.25">
      <c r="A696">
        <v>695</v>
      </c>
      <c r="B696" s="2">
        <v>43309</v>
      </c>
      <c r="C696">
        <v>12</v>
      </c>
      <c r="D696" s="1" t="s">
        <v>42</v>
      </c>
      <c r="E696" s="1" t="s">
        <v>41</v>
      </c>
      <c r="F696" s="1" t="s">
        <v>12</v>
      </c>
      <c r="G696" s="1" t="s">
        <v>17</v>
      </c>
      <c r="H696">
        <v>289</v>
      </c>
      <c r="I696">
        <v>7</v>
      </c>
      <c r="J696">
        <v>2023</v>
      </c>
    </row>
    <row r="697" spans="1:10" x14ac:dyDescent="0.25">
      <c r="A697">
        <v>696</v>
      </c>
      <c r="B697" s="2">
        <v>43310</v>
      </c>
      <c r="C697">
        <v>3</v>
      </c>
      <c r="D697" s="1" t="s">
        <v>33</v>
      </c>
      <c r="E697" s="1" t="s">
        <v>43</v>
      </c>
      <c r="F697" s="1" t="s">
        <v>16</v>
      </c>
      <c r="G697" s="1" t="s">
        <v>13</v>
      </c>
      <c r="H697">
        <v>199</v>
      </c>
      <c r="I697">
        <v>8</v>
      </c>
      <c r="J697">
        <v>1592</v>
      </c>
    </row>
    <row r="698" spans="1:10" x14ac:dyDescent="0.25">
      <c r="A698">
        <v>697</v>
      </c>
      <c r="B698" s="2">
        <v>43310</v>
      </c>
      <c r="C698">
        <v>5</v>
      </c>
      <c r="D698" s="1" t="s">
        <v>40</v>
      </c>
      <c r="E698" s="1" t="s">
        <v>43</v>
      </c>
      <c r="F698" s="1" t="s">
        <v>16</v>
      </c>
      <c r="G698" s="1" t="s">
        <v>21</v>
      </c>
      <c r="H698">
        <v>159</v>
      </c>
      <c r="I698">
        <v>1</v>
      </c>
      <c r="J698">
        <v>159</v>
      </c>
    </row>
    <row r="699" spans="1:10" x14ac:dyDescent="0.25">
      <c r="A699">
        <v>698</v>
      </c>
      <c r="B699" s="2">
        <v>43311</v>
      </c>
      <c r="C699">
        <v>8</v>
      </c>
      <c r="D699" s="1" t="s">
        <v>34</v>
      </c>
      <c r="E699" s="1" t="s">
        <v>35</v>
      </c>
      <c r="F699" s="1" t="s">
        <v>20</v>
      </c>
      <c r="G699" s="1" t="s">
        <v>17</v>
      </c>
      <c r="H699">
        <v>289</v>
      </c>
      <c r="I699">
        <v>9</v>
      </c>
      <c r="J699">
        <v>2601</v>
      </c>
    </row>
    <row r="700" spans="1:10" x14ac:dyDescent="0.25">
      <c r="A700">
        <v>699</v>
      </c>
      <c r="B700" s="2">
        <v>43312</v>
      </c>
      <c r="C700">
        <v>5</v>
      </c>
      <c r="D700" s="1" t="s">
        <v>40</v>
      </c>
      <c r="E700" s="1" t="s">
        <v>43</v>
      </c>
      <c r="F700" s="1" t="s">
        <v>16</v>
      </c>
      <c r="G700" s="1" t="s">
        <v>13</v>
      </c>
      <c r="H700">
        <v>199</v>
      </c>
      <c r="I700">
        <v>3</v>
      </c>
      <c r="J700">
        <v>597</v>
      </c>
    </row>
    <row r="701" spans="1:10" x14ac:dyDescent="0.25">
      <c r="A701">
        <v>700</v>
      </c>
      <c r="B701" s="2">
        <v>43313</v>
      </c>
      <c r="C701">
        <v>20</v>
      </c>
      <c r="D701" s="1" t="s">
        <v>31</v>
      </c>
      <c r="E701" s="1" t="s">
        <v>29</v>
      </c>
      <c r="F701" s="1" t="s">
        <v>24</v>
      </c>
      <c r="G701" s="1" t="s">
        <v>17</v>
      </c>
      <c r="H701">
        <v>289</v>
      </c>
      <c r="I701">
        <v>0</v>
      </c>
      <c r="J701">
        <v>0</v>
      </c>
    </row>
    <row r="702" spans="1:10" x14ac:dyDescent="0.25">
      <c r="A702">
        <v>701</v>
      </c>
      <c r="B702" s="2">
        <v>43314</v>
      </c>
      <c r="C702">
        <v>15</v>
      </c>
      <c r="D702" s="1" t="s">
        <v>46</v>
      </c>
      <c r="E702" s="1" t="s">
        <v>11</v>
      </c>
      <c r="F702" s="1" t="s">
        <v>12</v>
      </c>
      <c r="G702" s="1" t="s">
        <v>17</v>
      </c>
      <c r="H702">
        <v>289</v>
      </c>
      <c r="I702">
        <v>2</v>
      </c>
      <c r="J702">
        <v>578</v>
      </c>
    </row>
    <row r="703" spans="1:10" x14ac:dyDescent="0.25">
      <c r="A703">
        <v>702</v>
      </c>
      <c r="B703" s="2">
        <v>43315</v>
      </c>
      <c r="C703">
        <v>6</v>
      </c>
      <c r="D703" s="1" t="s">
        <v>36</v>
      </c>
      <c r="E703" s="1" t="s">
        <v>35</v>
      </c>
      <c r="F703" s="1" t="s">
        <v>20</v>
      </c>
      <c r="G703" s="1" t="s">
        <v>13</v>
      </c>
      <c r="H703">
        <v>199</v>
      </c>
      <c r="I703">
        <v>3</v>
      </c>
      <c r="J703">
        <v>597</v>
      </c>
    </row>
    <row r="704" spans="1:10" x14ac:dyDescent="0.25">
      <c r="A704">
        <v>703</v>
      </c>
      <c r="B704" s="2">
        <v>43315</v>
      </c>
      <c r="C704">
        <v>19</v>
      </c>
      <c r="D704" s="1" t="s">
        <v>38</v>
      </c>
      <c r="E704" s="1" t="s">
        <v>29</v>
      </c>
      <c r="F704" s="1" t="s">
        <v>24</v>
      </c>
      <c r="G704" s="1" t="s">
        <v>17</v>
      </c>
      <c r="H704">
        <v>289</v>
      </c>
      <c r="I704">
        <v>9</v>
      </c>
      <c r="J704">
        <v>2601</v>
      </c>
    </row>
    <row r="705" spans="1:10" x14ac:dyDescent="0.25">
      <c r="A705">
        <v>704</v>
      </c>
      <c r="B705" s="2">
        <v>43315</v>
      </c>
      <c r="C705">
        <v>15</v>
      </c>
      <c r="D705" s="1" t="s">
        <v>46</v>
      </c>
      <c r="E705" s="1" t="s">
        <v>11</v>
      </c>
      <c r="F705" s="1" t="s">
        <v>12</v>
      </c>
      <c r="G705" s="1" t="s">
        <v>17</v>
      </c>
      <c r="H705">
        <v>289</v>
      </c>
      <c r="I705">
        <v>6</v>
      </c>
      <c r="J705">
        <v>1734</v>
      </c>
    </row>
    <row r="706" spans="1:10" x14ac:dyDescent="0.25">
      <c r="A706">
        <v>705</v>
      </c>
      <c r="B706" s="2">
        <v>43315</v>
      </c>
      <c r="C706">
        <v>14</v>
      </c>
      <c r="D706" s="1" t="s">
        <v>30</v>
      </c>
      <c r="E706" s="1" t="s">
        <v>11</v>
      </c>
      <c r="F706" s="1" t="s">
        <v>12</v>
      </c>
      <c r="G706" s="1" t="s">
        <v>17</v>
      </c>
      <c r="H706">
        <v>289</v>
      </c>
      <c r="I706">
        <v>0</v>
      </c>
      <c r="J706">
        <v>0</v>
      </c>
    </row>
    <row r="707" spans="1:10" x14ac:dyDescent="0.25">
      <c r="A707">
        <v>706</v>
      </c>
      <c r="B707" s="2">
        <v>43315</v>
      </c>
      <c r="C707">
        <v>7</v>
      </c>
      <c r="D707" s="1" t="s">
        <v>44</v>
      </c>
      <c r="E707" s="1" t="s">
        <v>35</v>
      </c>
      <c r="F707" s="1" t="s">
        <v>20</v>
      </c>
      <c r="G707" s="1" t="s">
        <v>21</v>
      </c>
      <c r="H707">
        <v>159</v>
      </c>
      <c r="I707">
        <v>2</v>
      </c>
      <c r="J707">
        <v>318</v>
      </c>
    </row>
    <row r="708" spans="1:10" x14ac:dyDescent="0.25">
      <c r="A708">
        <v>707</v>
      </c>
      <c r="B708" s="2">
        <v>43315</v>
      </c>
      <c r="C708">
        <v>10</v>
      </c>
      <c r="D708" s="1" t="s">
        <v>39</v>
      </c>
      <c r="E708" s="1" t="s">
        <v>35</v>
      </c>
      <c r="F708" s="1" t="s">
        <v>20</v>
      </c>
      <c r="G708" s="1" t="s">
        <v>13</v>
      </c>
      <c r="H708">
        <v>199</v>
      </c>
      <c r="I708">
        <v>1</v>
      </c>
      <c r="J708">
        <v>199</v>
      </c>
    </row>
    <row r="709" spans="1:10" x14ac:dyDescent="0.25">
      <c r="A709">
        <v>708</v>
      </c>
      <c r="B709" s="2">
        <v>43315</v>
      </c>
      <c r="C709">
        <v>1</v>
      </c>
      <c r="D709" s="1" t="s">
        <v>14</v>
      </c>
      <c r="E709" s="1" t="s">
        <v>15</v>
      </c>
      <c r="F709" s="1" t="s">
        <v>16</v>
      </c>
      <c r="G709" s="1" t="s">
        <v>17</v>
      </c>
      <c r="H709">
        <v>289</v>
      </c>
      <c r="I709">
        <v>4</v>
      </c>
      <c r="J709">
        <v>1156</v>
      </c>
    </row>
    <row r="710" spans="1:10" x14ac:dyDescent="0.25">
      <c r="A710">
        <v>709</v>
      </c>
      <c r="B710" s="2">
        <v>43315</v>
      </c>
      <c r="C710">
        <v>1</v>
      </c>
      <c r="D710" s="1" t="s">
        <v>14</v>
      </c>
      <c r="E710" s="1" t="s">
        <v>15</v>
      </c>
      <c r="F710" s="1" t="s">
        <v>16</v>
      </c>
      <c r="G710" s="1" t="s">
        <v>21</v>
      </c>
      <c r="H710">
        <v>159</v>
      </c>
      <c r="I710">
        <v>9</v>
      </c>
      <c r="J710">
        <v>1431</v>
      </c>
    </row>
    <row r="711" spans="1:10" x14ac:dyDescent="0.25">
      <c r="A711">
        <v>710</v>
      </c>
      <c r="B711" s="2">
        <v>43315</v>
      </c>
      <c r="C711">
        <v>13</v>
      </c>
      <c r="D711" s="1" t="s">
        <v>27</v>
      </c>
      <c r="E711" s="1" t="s">
        <v>11</v>
      </c>
      <c r="F711" s="1" t="s">
        <v>12</v>
      </c>
      <c r="G711" s="1" t="s">
        <v>17</v>
      </c>
      <c r="H711">
        <v>289</v>
      </c>
      <c r="I711">
        <v>8</v>
      </c>
      <c r="J711">
        <v>2312</v>
      </c>
    </row>
    <row r="712" spans="1:10" x14ac:dyDescent="0.25">
      <c r="A712">
        <v>711</v>
      </c>
      <c r="B712" s="2">
        <v>43315</v>
      </c>
      <c r="C712">
        <v>19</v>
      </c>
      <c r="D712" s="1" t="s">
        <v>38</v>
      </c>
      <c r="E712" s="1" t="s">
        <v>23</v>
      </c>
      <c r="F712" s="1" t="s">
        <v>24</v>
      </c>
      <c r="G712" s="1" t="s">
        <v>13</v>
      </c>
      <c r="H712">
        <v>199</v>
      </c>
      <c r="I712">
        <v>1</v>
      </c>
      <c r="J712">
        <v>199</v>
      </c>
    </row>
    <row r="713" spans="1:10" x14ac:dyDescent="0.25">
      <c r="A713">
        <v>712</v>
      </c>
      <c r="B713" s="2">
        <v>43316</v>
      </c>
      <c r="C713">
        <v>12</v>
      </c>
      <c r="D713" s="1" t="s">
        <v>42</v>
      </c>
      <c r="E713" s="1" t="s">
        <v>11</v>
      </c>
      <c r="F713" s="1" t="s">
        <v>12</v>
      </c>
      <c r="G713" s="1" t="s">
        <v>21</v>
      </c>
      <c r="H713">
        <v>159</v>
      </c>
      <c r="I713">
        <v>0</v>
      </c>
      <c r="J713">
        <v>0</v>
      </c>
    </row>
    <row r="714" spans="1:10" x14ac:dyDescent="0.25">
      <c r="A714">
        <v>713</v>
      </c>
      <c r="B714" s="2">
        <v>43316</v>
      </c>
      <c r="C714">
        <v>19</v>
      </c>
      <c r="D714" s="1" t="s">
        <v>38</v>
      </c>
      <c r="E714" s="1" t="s">
        <v>23</v>
      </c>
      <c r="F714" s="1" t="s">
        <v>24</v>
      </c>
      <c r="G714" s="1" t="s">
        <v>21</v>
      </c>
      <c r="H714">
        <v>159</v>
      </c>
      <c r="I714">
        <v>8</v>
      </c>
      <c r="J714">
        <v>1272</v>
      </c>
    </row>
    <row r="715" spans="1:10" x14ac:dyDescent="0.25">
      <c r="A715">
        <v>714</v>
      </c>
      <c r="B715" s="2">
        <v>43317</v>
      </c>
      <c r="C715">
        <v>4</v>
      </c>
      <c r="D715" s="1" t="s">
        <v>37</v>
      </c>
      <c r="E715" s="1" t="s">
        <v>15</v>
      </c>
      <c r="F715" s="1" t="s">
        <v>16</v>
      </c>
      <c r="G715" s="1" t="s">
        <v>17</v>
      </c>
      <c r="H715">
        <v>289</v>
      </c>
      <c r="I715">
        <v>6</v>
      </c>
      <c r="J715">
        <v>1734</v>
      </c>
    </row>
    <row r="716" spans="1:10" x14ac:dyDescent="0.25">
      <c r="A716">
        <v>715</v>
      </c>
      <c r="B716" s="2">
        <v>43317</v>
      </c>
      <c r="C716">
        <v>13</v>
      </c>
      <c r="D716" s="1" t="s">
        <v>27</v>
      </c>
      <c r="E716" s="1" t="s">
        <v>41</v>
      </c>
      <c r="F716" s="1" t="s">
        <v>12</v>
      </c>
      <c r="G716" s="1" t="s">
        <v>21</v>
      </c>
      <c r="H716">
        <v>159</v>
      </c>
      <c r="I716">
        <v>5</v>
      </c>
      <c r="J716">
        <v>795</v>
      </c>
    </row>
    <row r="717" spans="1:10" x14ac:dyDescent="0.25">
      <c r="A717">
        <v>716</v>
      </c>
      <c r="B717" s="2">
        <v>43317</v>
      </c>
      <c r="C717">
        <v>4</v>
      </c>
      <c r="D717" s="1" t="s">
        <v>37</v>
      </c>
      <c r="E717" s="1" t="s">
        <v>15</v>
      </c>
      <c r="F717" s="1" t="s">
        <v>16</v>
      </c>
      <c r="G717" s="1" t="s">
        <v>26</v>
      </c>
      <c r="H717">
        <v>69</v>
      </c>
      <c r="I717">
        <v>8</v>
      </c>
      <c r="J717">
        <v>552</v>
      </c>
    </row>
    <row r="718" spans="1:10" x14ac:dyDescent="0.25">
      <c r="A718">
        <v>717</v>
      </c>
      <c r="B718" s="2">
        <v>43317</v>
      </c>
      <c r="C718">
        <v>12</v>
      </c>
      <c r="D718" s="1" t="s">
        <v>42</v>
      </c>
      <c r="E718" s="1" t="s">
        <v>11</v>
      </c>
      <c r="F718" s="1" t="s">
        <v>12</v>
      </c>
      <c r="G718" s="1" t="s">
        <v>13</v>
      </c>
      <c r="H718">
        <v>199</v>
      </c>
      <c r="I718">
        <v>2</v>
      </c>
      <c r="J718">
        <v>398</v>
      </c>
    </row>
    <row r="719" spans="1:10" x14ac:dyDescent="0.25">
      <c r="A719">
        <v>718</v>
      </c>
      <c r="B719" s="2">
        <v>43318</v>
      </c>
      <c r="C719">
        <v>13</v>
      </c>
      <c r="D719" s="1" t="s">
        <v>27</v>
      </c>
      <c r="E719" s="1" t="s">
        <v>41</v>
      </c>
      <c r="F719" s="1" t="s">
        <v>12</v>
      </c>
      <c r="G719" s="1" t="s">
        <v>21</v>
      </c>
      <c r="H719">
        <v>159</v>
      </c>
      <c r="I719">
        <v>3</v>
      </c>
      <c r="J719">
        <v>477</v>
      </c>
    </row>
    <row r="720" spans="1:10" x14ac:dyDescent="0.25">
      <c r="A720">
        <v>719</v>
      </c>
      <c r="B720" s="2">
        <v>43318</v>
      </c>
      <c r="C720">
        <v>2</v>
      </c>
      <c r="D720" s="1" t="s">
        <v>45</v>
      </c>
      <c r="E720" s="1" t="s">
        <v>43</v>
      </c>
      <c r="F720" s="1" t="s">
        <v>16</v>
      </c>
      <c r="G720" s="1" t="s">
        <v>21</v>
      </c>
      <c r="H720">
        <v>159</v>
      </c>
      <c r="I720">
        <v>4</v>
      </c>
      <c r="J720">
        <v>636</v>
      </c>
    </row>
    <row r="721" spans="1:10" x14ac:dyDescent="0.25">
      <c r="A721">
        <v>720</v>
      </c>
      <c r="B721" s="2">
        <v>43319</v>
      </c>
      <c r="C721">
        <v>9</v>
      </c>
      <c r="D721" s="1" t="s">
        <v>18</v>
      </c>
      <c r="E721" s="1" t="s">
        <v>35</v>
      </c>
      <c r="F721" s="1" t="s">
        <v>20</v>
      </c>
      <c r="G721" s="1" t="s">
        <v>17</v>
      </c>
      <c r="H721">
        <v>289</v>
      </c>
      <c r="I721">
        <v>9</v>
      </c>
      <c r="J721">
        <v>2601</v>
      </c>
    </row>
    <row r="722" spans="1:10" x14ac:dyDescent="0.25">
      <c r="A722">
        <v>721</v>
      </c>
      <c r="B722" s="2">
        <v>43319</v>
      </c>
      <c r="C722">
        <v>7</v>
      </c>
      <c r="D722" s="1" t="s">
        <v>44</v>
      </c>
      <c r="E722" s="1" t="s">
        <v>35</v>
      </c>
      <c r="F722" s="1" t="s">
        <v>20</v>
      </c>
      <c r="G722" s="1" t="s">
        <v>21</v>
      </c>
      <c r="H722">
        <v>159</v>
      </c>
      <c r="I722">
        <v>5</v>
      </c>
      <c r="J722">
        <v>795</v>
      </c>
    </row>
    <row r="723" spans="1:10" x14ac:dyDescent="0.25">
      <c r="A723">
        <v>722</v>
      </c>
      <c r="B723" s="2">
        <v>43319</v>
      </c>
      <c r="C723">
        <v>11</v>
      </c>
      <c r="D723" s="1" t="s">
        <v>10</v>
      </c>
      <c r="E723" s="1" t="s">
        <v>41</v>
      </c>
      <c r="F723" s="1" t="s">
        <v>12</v>
      </c>
      <c r="G723" s="1" t="s">
        <v>21</v>
      </c>
      <c r="H723">
        <v>159</v>
      </c>
      <c r="I723">
        <v>4</v>
      </c>
      <c r="J723">
        <v>636</v>
      </c>
    </row>
    <row r="724" spans="1:10" x14ac:dyDescent="0.25">
      <c r="A724">
        <v>723</v>
      </c>
      <c r="B724" s="2">
        <v>43320</v>
      </c>
      <c r="C724">
        <v>8</v>
      </c>
      <c r="D724" s="1" t="s">
        <v>34</v>
      </c>
      <c r="E724" s="1" t="s">
        <v>35</v>
      </c>
      <c r="F724" s="1" t="s">
        <v>20</v>
      </c>
      <c r="G724" s="1" t="s">
        <v>32</v>
      </c>
      <c r="H724">
        <v>399</v>
      </c>
      <c r="I724">
        <v>2</v>
      </c>
      <c r="J724">
        <v>798</v>
      </c>
    </row>
    <row r="725" spans="1:10" x14ac:dyDescent="0.25">
      <c r="A725">
        <v>724</v>
      </c>
      <c r="B725" s="2">
        <v>43320</v>
      </c>
      <c r="C725">
        <v>7</v>
      </c>
      <c r="D725" s="1" t="s">
        <v>44</v>
      </c>
      <c r="E725" s="1" t="s">
        <v>35</v>
      </c>
      <c r="F725" s="1" t="s">
        <v>20</v>
      </c>
      <c r="G725" s="1" t="s">
        <v>17</v>
      </c>
      <c r="H725">
        <v>289</v>
      </c>
      <c r="I725">
        <v>5</v>
      </c>
      <c r="J725">
        <v>1445</v>
      </c>
    </row>
    <row r="726" spans="1:10" x14ac:dyDescent="0.25">
      <c r="A726">
        <v>725</v>
      </c>
      <c r="B726" s="2">
        <v>43320</v>
      </c>
      <c r="C726">
        <v>8</v>
      </c>
      <c r="D726" s="1" t="s">
        <v>34</v>
      </c>
      <c r="E726" s="1" t="s">
        <v>19</v>
      </c>
      <c r="F726" s="1" t="s">
        <v>20</v>
      </c>
      <c r="G726" s="1" t="s">
        <v>17</v>
      </c>
      <c r="H726">
        <v>289</v>
      </c>
      <c r="I726">
        <v>2</v>
      </c>
      <c r="J726">
        <v>578</v>
      </c>
    </row>
    <row r="727" spans="1:10" x14ac:dyDescent="0.25">
      <c r="A727">
        <v>726</v>
      </c>
      <c r="B727" s="2">
        <v>43320</v>
      </c>
      <c r="C727">
        <v>8</v>
      </c>
      <c r="D727" s="1" t="s">
        <v>34</v>
      </c>
      <c r="E727" s="1" t="s">
        <v>35</v>
      </c>
      <c r="F727" s="1" t="s">
        <v>20</v>
      </c>
      <c r="G727" s="1" t="s">
        <v>17</v>
      </c>
      <c r="H727">
        <v>289</v>
      </c>
      <c r="I727">
        <v>1</v>
      </c>
      <c r="J727">
        <v>289</v>
      </c>
    </row>
    <row r="728" spans="1:10" x14ac:dyDescent="0.25">
      <c r="A728">
        <v>727</v>
      </c>
      <c r="B728" s="2">
        <v>43320</v>
      </c>
      <c r="C728">
        <v>17</v>
      </c>
      <c r="D728" s="1" t="s">
        <v>28</v>
      </c>
      <c r="E728" s="1" t="s">
        <v>29</v>
      </c>
      <c r="F728" s="1" t="s">
        <v>24</v>
      </c>
      <c r="G728" s="1" t="s">
        <v>26</v>
      </c>
      <c r="H728">
        <v>69</v>
      </c>
      <c r="I728">
        <v>3</v>
      </c>
      <c r="J728">
        <v>207</v>
      </c>
    </row>
    <row r="729" spans="1:10" x14ac:dyDescent="0.25">
      <c r="A729">
        <v>728</v>
      </c>
      <c r="B729" s="2">
        <v>43321</v>
      </c>
      <c r="C729">
        <v>10</v>
      </c>
      <c r="D729" s="1" t="s">
        <v>39</v>
      </c>
      <c r="E729" s="1" t="s">
        <v>19</v>
      </c>
      <c r="F729" s="1" t="s">
        <v>20</v>
      </c>
      <c r="G729" s="1" t="s">
        <v>17</v>
      </c>
      <c r="H729">
        <v>289</v>
      </c>
      <c r="I729">
        <v>7</v>
      </c>
      <c r="J729">
        <v>2023</v>
      </c>
    </row>
    <row r="730" spans="1:10" x14ac:dyDescent="0.25">
      <c r="A730">
        <v>729</v>
      </c>
      <c r="B730" s="2">
        <v>43321</v>
      </c>
      <c r="C730">
        <v>6</v>
      </c>
      <c r="D730" s="1" t="s">
        <v>36</v>
      </c>
      <c r="E730" s="1" t="s">
        <v>35</v>
      </c>
      <c r="F730" s="1" t="s">
        <v>20</v>
      </c>
      <c r="G730" s="1" t="s">
        <v>13</v>
      </c>
      <c r="H730">
        <v>199</v>
      </c>
      <c r="I730">
        <v>7</v>
      </c>
      <c r="J730">
        <v>1393</v>
      </c>
    </row>
    <row r="731" spans="1:10" x14ac:dyDescent="0.25">
      <c r="A731">
        <v>730</v>
      </c>
      <c r="B731" s="2">
        <v>43322</v>
      </c>
      <c r="C731">
        <v>18</v>
      </c>
      <c r="D731" s="1" t="s">
        <v>22</v>
      </c>
      <c r="E731" s="1" t="s">
        <v>29</v>
      </c>
      <c r="F731" s="1" t="s">
        <v>24</v>
      </c>
      <c r="G731" s="1" t="s">
        <v>32</v>
      </c>
      <c r="H731">
        <v>399</v>
      </c>
      <c r="I731">
        <v>4</v>
      </c>
      <c r="J731">
        <v>1596</v>
      </c>
    </row>
    <row r="732" spans="1:10" x14ac:dyDescent="0.25">
      <c r="A732">
        <v>731</v>
      </c>
      <c r="B732" s="2">
        <v>43322</v>
      </c>
      <c r="C732">
        <v>13</v>
      </c>
      <c r="D732" s="1" t="s">
        <v>27</v>
      </c>
      <c r="E732" s="1" t="s">
        <v>11</v>
      </c>
      <c r="F732" s="1" t="s">
        <v>12</v>
      </c>
      <c r="G732" s="1" t="s">
        <v>32</v>
      </c>
      <c r="H732">
        <v>399</v>
      </c>
      <c r="I732">
        <v>4</v>
      </c>
      <c r="J732">
        <v>1596</v>
      </c>
    </row>
    <row r="733" spans="1:10" x14ac:dyDescent="0.25">
      <c r="A733">
        <v>732</v>
      </c>
      <c r="B733" s="2">
        <v>43322</v>
      </c>
      <c r="C733">
        <v>1</v>
      </c>
      <c r="D733" s="1" t="s">
        <v>14</v>
      </c>
      <c r="E733" s="1" t="s">
        <v>43</v>
      </c>
      <c r="F733" s="1" t="s">
        <v>16</v>
      </c>
      <c r="G733" s="1" t="s">
        <v>17</v>
      </c>
      <c r="H733">
        <v>289</v>
      </c>
      <c r="I733">
        <v>6</v>
      </c>
      <c r="J733">
        <v>1734</v>
      </c>
    </row>
    <row r="734" spans="1:10" x14ac:dyDescent="0.25">
      <c r="A734">
        <v>733</v>
      </c>
      <c r="B734" s="2">
        <v>43322</v>
      </c>
      <c r="C734">
        <v>17</v>
      </c>
      <c r="D734" s="1" t="s">
        <v>28</v>
      </c>
      <c r="E734" s="1" t="s">
        <v>29</v>
      </c>
      <c r="F734" s="1" t="s">
        <v>24</v>
      </c>
      <c r="G734" s="1" t="s">
        <v>21</v>
      </c>
      <c r="H734">
        <v>159</v>
      </c>
      <c r="I734">
        <v>4</v>
      </c>
      <c r="J734">
        <v>636</v>
      </c>
    </row>
    <row r="735" spans="1:10" x14ac:dyDescent="0.25">
      <c r="A735">
        <v>734</v>
      </c>
      <c r="B735" s="2">
        <v>43322</v>
      </c>
      <c r="C735">
        <v>3</v>
      </c>
      <c r="D735" s="1" t="s">
        <v>33</v>
      </c>
      <c r="E735" s="1" t="s">
        <v>15</v>
      </c>
      <c r="F735" s="1" t="s">
        <v>16</v>
      </c>
      <c r="G735" s="1" t="s">
        <v>17</v>
      </c>
      <c r="H735">
        <v>289</v>
      </c>
      <c r="I735">
        <v>2</v>
      </c>
      <c r="J735">
        <v>578</v>
      </c>
    </row>
    <row r="736" spans="1:10" x14ac:dyDescent="0.25">
      <c r="A736">
        <v>735</v>
      </c>
      <c r="B736" s="2">
        <v>43323</v>
      </c>
      <c r="C736">
        <v>3</v>
      </c>
      <c r="D736" s="1" t="s">
        <v>33</v>
      </c>
      <c r="E736" s="1" t="s">
        <v>43</v>
      </c>
      <c r="F736" s="1" t="s">
        <v>16</v>
      </c>
      <c r="G736" s="1" t="s">
        <v>32</v>
      </c>
      <c r="H736">
        <v>399</v>
      </c>
      <c r="I736">
        <v>0</v>
      </c>
      <c r="J736">
        <v>0</v>
      </c>
    </row>
    <row r="737" spans="1:10" x14ac:dyDescent="0.25">
      <c r="A737">
        <v>736</v>
      </c>
      <c r="B737" s="2">
        <v>43323</v>
      </c>
      <c r="C737">
        <v>14</v>
      </c>
      <c r="D737" s="1" t="s">
        <v>30</v>
      </c>
      <c r="E737" s="1" t="s">
        <v>11</v>
      </c>
      <c r="F737" s="1" t="s">
        <v>12</v>
      </c>
      <c r="G737" s="1" t="s">
        <v>21</v>
      </c>
      <c r="H737">
        <v>159</v>
      </c>
      <c r="I737">
        <v>6</v>
      </c>
      <c r="J737">
        <v>954</v>
      </c>
    </row>
    <row r="738" spans="1:10" x14ac:dyDescent="0.25">
      <c r="A738">
        <v>737</v>
      </c>
      <c r="B738" s="2">
        <v>43323</v>
      </c>
      <c r="C738">
        <v>12</v>
      </c>
      <c r="D738" s="1" t="s">
        <v>42</v>
      </c>
      <c r="E738" s="1" t="s">
        <v>41</v>
      </c>
      <c r="F738" s="1" t="s">
        <v>12</v>
      </c>
      <c r="G738" s="1" t="s">
        <v>21</v>
      </c>
      <c r="H738">
        <v>159</v>
      </c>
      <c r="I738">
        <v>5</v>
      </c>
      <c r="J738">
        <v>795</v>
      </c>
    </row>
    <row r="739" spans="1:10" x14ac:dyDescent="0.25">
      <c r="A739">
        <v>738</v>
      </c>
      <c r="B739" s="2">
        <v>43324</v>
      </c>
      <c r="C739">
        <v>8</v>
      </c>
      <c r="D739" s="1" t="s">
        <v>34</v>
      </c>
      <c r="E739" s="1" t="s">
        <v>19</v>
      </c>
      <c r="F739" s="1" t="s">
        <v>20</v>
      </c>
      <c r="G739" s="1" t="s">
        <v>32</v>
      </c>
      <c r="H739">
        <v>399</v>
      </c>
      <c r="I739">
        <v>7</v>
      </c>
      <c r="J739">
        <v>2793</v>
      </c>
    </row>
    <row r="740" spans="1:10" x14ac:dyDescent="0.25">
      <c r="A740">
        <v>739</v>
      </c>
      <c r="B740" s="2">
        <v>43325</v>
      </c>
      <c r="C740">
        <v>1</v>
      </c>
      <c r="D740" s="1" t="s">
        <v>14</v>
      </c>
      <c r="E740" s="1" t="s">
        <v>43</v>
      </c>
      <c r="F740" s="1" t="s">
        <v>16</v>
      </c>
      <c r="G740" s="1" t="s">
        <v>26</v>
      </c>
      <c r="H740">
        <v>69</v>
      </c>
      <c r="I740">
        <v>6</v>
      </c>
      <c r="J740">
        <v>414</v>
      </c>
    </row>
    <row r="741" spans="1:10" x14ac:dyDescent="0.25">
      <c r="A741">
        <v>740</v>
      </c>
      <c r="B741" s="2">
        <v>43325</v>
      </c>
      <c r="C741">
        <v>19</v>
      </c>
      <c r="D741" s="1" t="s">
        <v>38</v>
      </c>
      <c r="E741" s="1" t="s">
        <v>29</v>
      </c>
      <c r="F741" s="1" t="s">
        <v>24</v>
      </c>
      <c r="G741" s="1" t="s">
        <v>13</v>
      </c>
      <c r="H741">
        <v>199</v>
      </c>
      <c r="I741">
        <v>4</v>
      </c>
      <c r="J741">
        <v>796</v>
      </c>
    </row>
    <row r="742" spans="1:10" x14ac:dyDescent="0.25">
      <c r="A742">
        <v>741</v>
      </c>
      <c r="B742" s="2">
        <v>43326</v>
      </c>
      <c r="C742">
        <v>1</v>
      </c>
      <c r="D742" s="1" t="s">
        <v>14</v>
      </c>
      <c r="E742" s="1" t="s">
        <v>43</v>
      </c>
      <c r="F742" s="1" t="s">
        <v>16</v>
      </c>
      <c r="G742" s="1" t="s">
        <v>17</v>
      </c>
      <c r="H742">
        <v>289</v>
      </c>
      <c r="I742">
        <v>7</v>
      </c>
      <c r="J742">
        <v>2023</v>
      </c>
    </row>
    <row r="743" spans="1:10" x14ac:dyDescent="0.25">
      <c r="A743">
        <v>742</v>
      </c>
      <c r="B743" s="2">
        <v>43326</v>
      </c>
      <c r="C743">
        <v>18</v>
      </c>
      <c r="D743" s="1" t="s">
        <v>22</v>
      </c>
      <c r="E743" s="1" t="s">
        <v>29</v>
      </c>
      <c r="F743" s="1" t="s">
        <v>24</v>
      </c>
      <c r="G743" s="1" t="s">
        <v>17</v>
      </c>
      <c r="H743">
        <v>289</v>
      </c>
      <c r="I743">
        <v>0</v>
      </c>
      <c r="J743">
        <v>0</v>
      </c>
    </row>
    <row r="744" spans="1:10" x14ac:dyDescent="0.25">
      <c r="A744">
        <v>743</v>
      </c>
      <c r="B744" s="2">
        <v>43327</v>
      </c>
      <c r="C744">
        <v>19</v>
      </c>
      <c r="D744" s="1" t="s">
        <v>38</v>
      </c>
      <c r="E744" s="1" t="s">
        <v>23</v>
      </c>
      <c r="F744" s="1" t="s">
        <v>24</v>
      </c>
      <c r="G744" s="1" t="s">
        <v>26</v>
      </c>
      <c r="H744">
        <v>69</v>
      </c>
      <c r="I744">
        <v>9</v>
      </c>
      <c r="J744">
        <v>621</v>
      </c>
    </row>
    <row r="745" spans="1:10" x14ac:dyDescent="0.25">
      <c r="A745">
        <v>744</v>
      </c>
      <c r="B745" s="2">
        <v>43328</v>
      </c>
      <c r="C745">
        <v>12</v>
      </c>
      <c r="D745" s="1" t="s">
        <v>42</v>
      </c>
      <c r="E745" s="1" t="s">
        <v>41</v>
      </c>
      <c r="F745" s="1" t="s">
        <v>12</v>
      </c>
      <c r="G745" s="1" t="s">
        <v>26</v>
      </c>
      <c r="H745">
        <v>69</v>
      </c>
      <c r="I745">
        <v>5</v>
      </c>
      <c r="J745">
        <v>345</v>
      </c>
    </row>
    <row r="746" spans="1:10" x14ac:dyDescent="0.25">
      <c r="A746">
        <v>745</v>
      </c>
      <c r="B746" s="2">
        <v>43328</v>
      </c>
      <c r="C746">
        <v>8</v>
      </c>
      <c r="D746" s="1" t="s">
        <v>34</v>
      </c>
      <c r="E746" s="1" t="s">
        <v>19</v>
      </c>
      <c r="F746" s="1" t="s">
        <v>20</v>
      </c>
      <c r="G746" s="1" t="s">
        <v>32</v>
      </c>
      <c r="H746">
        <v>399</v>
      </c>
      <c r="I746">
        <v>0</v>
      </c>
      <c r="J746">
        <v>0</v>
      </c>
    </row>
    <row r="747" spans="1:10" x14ac:dyDescent="0.25">
      <c r="A747">
        <v>746</v>
      </c>
      <c r="B747" s="2">
        <v>43329</v>
      </c>
      <c r="C747">
        <v>2</v>
      </c>
      <c r="D747" s="1" t="s">
        <v>45</v>
      </c>
      <c r="E747" s="1" t="s">
        <v>43</v>
      </c>
      <c r="F747" s="1" t="s">
        <v>16</v>
      </c>
      <c r="G747" s="1" t="s">
        <v>21</v>
      </c>
      <c r="H747">
        <v>159</v>
      </c>
      <c r="I747">
        <v>8</v>
      </c>
      <c r="J747">
        <v>1272</v>
      </c>
    </row>
    <row r="748" spans="1:10" x14ac:dyDescent="0.25">
      <c r="A748">
        <v>747</v>
      </c>
      <c r="B748" s="2">
        <v>43329</v>
      </c>
      <c r="C748">
        <v>6</v>
      </c>
      <c r="D748" s="1" t="s">
        <v>36</v>
      </c>
      <c r="E748" s="1" t="s">
        <v>19</v>
      </c>
      <c r="F748" s="1" t="s">
        <v>20</v>
      </c>
      <c r="G748" s="1" t="s">
        <v>13</v>
      </c>
      <c r="H748">
        <v>199</v>
      </c>
      <c r="I748">
        <v>3</v>
      </c>
      <c r="J748">
        <v>597</v>
      </c>
    </row>
    <row r="749" spans="1:10" x14ac:dyDescent="0.25">
      <c r="A749">
        <v>748</v>
      </c>
      <c r="B749" s="2">
        <v>43330</v>
      </c>
      <c r="C749">
        <v>8</v>
      </c>
      <c r="D749" s="1" t="s">
        <v>34</v>
      </c>
      <c r="E749" s="1" t="s">
        <v>19</v>
      </c>
      <c r="F749" s="1" t="s">
        <v>20</v>
      </c>
      <c r="G749" s="1" t="s">
        <v>13</v>
      </c>
      <c r="H749">
        <v>199</v>
      </c>
      <c r="I749">
        <v>7</v>
      </c>
      <c r="J749">
        <v>1393</v>
      </c>
    </row>
    <row r="750" spans="1:10" x14ac:dyDescent="0.25">
      <c r="A750">
        <v>749</v>
      </c>
      <c r="B750" s="2">
        <v>43330</v>
      </c>
      <c r="C750">
        <v>11</v>
      </c>
      <c r="D750" s="1" t="s">
        <v>10</v>
      </c>
      <c r="E750" s="1" t="s">
        <v>41</v>
      </c>
      <c r="F750" s="1" t="s">
        <v>12</v>
      </c>
      <c r="G750" s="1" t="s">
        <v>17</v>
      </c>
      <c r="H750">
        <v>289</v>
      </c>
      <c r="I750">
        <v>3</v>
      </c>
      <c r="J750">
        <v>867</v>
      </c>
    </row>
    <row r="751" spans="1:10" x14ac:dyDescent="0.25">
      <c r="A751">
        <v>750</v>
      </c>
      <c r="B751" s="2">
        <v>43330</v>
      </c>
      <c r="C751">
        <v>20</v>
      </c>
      <c r="D751" s="1" t="s">
        <v>31</v>
      </c>
      <c r="E751" s="1" t="s">
        <v>29</v>
      </c>
      <c r="F751" s="1" t="s">
        <v>24</v>
      </c>
      <c r="G751" s="1" t="s">
        <v>21</v>
      </c>
      <c r="H751">
        <v>159</v>
      </c>
      <c r="I751">
        <v>9</v>
      </c>
      <c r="J751">
        <v>1431</v>
      </c>
    </row>
    <row r="752" spans="1:10" x14ac:dyDescent="0.25">
      <c r="A752">
        <v>751</v>
      </c>
      <c r="B752" s="2">
        <v>43330</v>
      </c>
      <c r="C752">
        <v>10</v>
      </c>
      <c r="D752" s="1" t="s">
        <v>39</v>
      </c>
      <c r="E752" s="1" t="s">
        <v>19</v>
      </c>
      <c r="F752" s="1" t="s">
        <v>20</v>
      </c>
      <c r="G752" s="1" t="s">
        <v>17</v>
      </c>
      <c r="H752">
        <v>289</v>
      </c>
      <c r="I752">
        <v>5</v>
      </c>
      <c r="J752">
        <v>1445</v>
      </c>
    </row>
    <row r="753" spans="1:10" x14ac:dyDescent="0.25">
      <c r="A753">
        <v>752</v>
      </c>
      <c r="B753" s="2">
        <v>43331</v>
      </c>
      <c r="C753">
        <v>8</v>
      </c>
      <c r="D753" s="1" t="s">
        <v>34</v>
      </c>
      <c r="E753" s="1" t="s">
        <v>35</v>
      </c>
      <c r="F753" s="1" t="s">
        <v>20</v>
      </c>
      <c r="G753" s="1" t="s">
        <v>32</v>
      </c>
      <c r="H753">
        <v>399</v>
      </c>
      <c r="I753">
        <v>1</v>
      </c>
      <c r="J753">
        <v>399</v>
      </c>
    </row>
    <row r="754" spans="1:10" x14ac:dyDescent="0.25">
      <c r="A754">
        <v>753</v>
      </c>
      <c r="B754" s="2">
        <v>43331</v>
      </c>
      <c r="C754">
        <v>5</v>
      </c>
      <c r="D754" s="1" t="s">
        <v>40</v>
      </c>
      <c r="E754" s="1" t="s">
        <v>15</v>
      </c>
      <c r="F754" s="1" t="s">
        <v>16</v>
      </c>
      <c r="G754" s="1" t="s">
        <v>32</v>
      </c>
      <c r="H754">
        <v>399</v>
      </c>
      <c r="I754">
        <v>6</v>
      </c>
      <c r="J754">
        <v>2394</v>
      </c>
    </row>
    <row r="755" spans="1:10" x14ac:dyDescent="0.25">
      <c r="A755">
        <v>754</v>
      </c>
      <c r="B755" s="2">
        <v>43332</v>
      </c>
      <c r="C755">
        <v>14</v>
      </c>
      <c r="D755" s="1" t="s">
        <v>30</v>
      </c>
      <c r="E755" s="1" t="s">
        <v>41</v>
      </c>
      <c r="F755" s="1" t="s">
        <v>12</v>
      </c>
      <c r="G755" s="1" t="s">
        <v>13</v>
      </c>
      <c r="H755">
        <v>199</v>
      </c>
      <c r="I755">
        <v>2</v>
      </c>
      <c r="J755">
        <v>398</v>
      </c>
    </row>
    <row r="756" spans="1:10" x14ac:dyDescent="0.25">
      <c r="A756">
        <v>755</v>
      </c>
      <c r="B756" s="2">
        <v>43332</v>
      </c>
      <c r="C756">
        <v>20</v>
      </c>
      <c r="D756" s="1" t="s">
        <v>31</v>
      </c>
      <c r="E756" s="1" t="s">
        <v>23</v>
      </c>
      <c r="F756" s="1" t="s">
        <v>24</v>
      </c>
      <c r="G756" s="1" t="s">
        <v>13</v>
      </c>
      <c r="H756">
        <v>199</v>
      </c>
      <c r="I756">
        <v>6</v>
      </c>
      <c r="J756">
        <v>1194</v>
      </c>
    </row>
    <row r="757" spans="1:10" x14ac:dyDescent="0.25">
      <c r="A757">
        <v>756</v>
      </c>
      <c r="B757" s="2">
        <v>43332</v>
      </c>
      <c r="C757">
        <v>17</v>
      </c>
      <c r="D757" s="1" t="s">
        <v>28</v>
      </c>
      <c r="E757" s="1" t="s">
        <v>23</v>
      </c>
      <c r="F757" s="1" t="s">
        <v>24</v>
      </c>
      <c r="G757" s="1" t="s">
        <v>32</v>
      </c>
      <c r="H757">
        <v>399</v>
      </c>
      <c r="I757">
        <v>6</v>
      </c>
      <c r="J757">
        <v>2394</v>
      </c>
    </row>
    <row r="758" spans="1:10" x14ac:dyDescent="0.25">
      <c r="A758">
        <v>757</v>
      </c>
      <c r="B758" s="2">
        <v>43332</v>
      </c>
      <c r="C758">
        <v>13</v>
      </c>
      <c r="D758" s="1" t="s">
        <v>27</v>
      </c>
      <c r="E758" s="1" t="s">
        <v>41</v>
      </c>
      <c r="F758" s="1" t="s">
        <v>12</v>
      </c>
      <c r="G758" s="1" t="s">
        <v>17</v>
      </c>
      <c r="H758">
        <v>289</v>
      </c>
      <c r="I758">
        <v>0</v>
      </c>
      <c r="J758">
        <v>0</v>
      </c>
    </row>
    <row r="759" spans="1:10" x14ac:dyDescent="0.25">
      <c r="A759">
        <v>758</v>
      </c>
      <c r="B759" s="2">
        <v>43332</v>
      </c>
      <c r="C759">
        <v>10</v>
      </c>
      <c r="D759" s="1" t="s">
        <v>39</v>
      </c>
      <c r="E759" s="1" t="s">
        <v>35</v>
      </c>
      <c r="F759" s="1" t="s">
        <v>20</v>
      </c>
      <c r="G759" s="1" t="s">
        <v>32</v>
      </c>
      <c r="H759">
        <v>399</v>
      </c>
      <c r="I759">
        <v>4</v>
      </c>
      <c r="J759">
        <v>1596</v>
      </c>
    </row>
    <row r="760" spans="1:10" x14ac:dyDescent="0.25">
      <c r="A760">
        <v>759</v>
      </c>
      <c r="B760" s="2">
        <v>43332</v>
      </c>
      <c r="C760">
        <v>3</v>
      </c>
      <c r="D760" s="1" t="s">
        <v>33</v>
      </c>
      <c r="E760" s="1" t="s">
        <v>43</v>
      </c>
      <c r="F760" s="1" t="s">
        <v>16</v>
      </c>
      <c r="G760" s="1" t="s">
        <v>17</v>
      </c>
      <c r="H760">
        <v>289</v>
      </c>
      <c r="I760">
        <v>1</v>
      </c>
      <c r="J760">
        <v>289</v>
      </c>
    </row>
    <row r="761" spans="1:10" x14ac:dyDescent="0.25">
      <c r="A761">
        <v>760</v>
      </c>
      <c r="B761" s="2">
        <v>43333</v>
      </c>
      <c r="C761">
        <v>19</v>
      </c>
      <c r="D761" s="1" t="s">
        <v>38</v>
      </c>
      <c r="E761" s="1" t="s">
        <v>29</v>
      </c>
      <c r="F761" s="1" t="s">
        <v>24</v>
      </c>
      <c r="G761" s="1" t="s">
        <v>32</v>
      </c>
      <c r="H761">
        <v>399</v>
      </c>
      <c r="I761">
        <v>6</v>
      </c>
      <c r="J761">
        <v>2394</v>
      </c>
    </row>
    <row r="762" spans="1:10" x14ac:dyDescent="0.25">
      <c r="A762">
        <v>761</v>
      </c>
      <c r="B762" s="2">
        <v>43333</v>
      </c>
      <c r="C762">
        <v>16</v>
      </c>
      <c r="D762" s="1" t="s">
        <v>25</v>
      </c>
      <c r="E762" s="1" t="s">
        <v>29</v>
      </c>
      <c r="F762" s="1" t="s">
        <v>24</v>
      </c>
      <c r="G762" s="1" t="s">
        <v>21</v>
      </c>
      <c r="H762">
        <v>159</v>
      </c>
      <c r="I762">
        <v>6</v>
      </c>
      <c r="J762">
        <v>954</v>
      </c>
    </row>
    <row r="763" spans="1:10" x14ac:dyDescent="0.25">
      <c r="A763">
        <v>762</v>
      </c>
      <c r="B763" s="2">
        <v>43333</v>
      </c>
      <c r="C763">
        <v>16</v>
      </c>
      <c r="D763" s="1" t="s">
        <v>25</v>
      </c>
      <c r="E763" s="1" t="s">
        <v>29</v>
      </c>
      <c r="F763" s="1" t="s">
        <v>24</v>
      </c>
      <c r="G763" s="1" t="s">
        <v>17</v>
      </c>
      <c r="H763">
        <v>289</v>
      </c>
      <c r="I763">
        <v>2</v>
      </c>
      <c r="J763">
        <v>578</v>
      </c>
    </row>
    <row r="764" spans="1:10" x14ac:dyDescent="0.25">
      <c r="A764">
        <v>763</v>
      </c>
      <c r="B764" s="2">
        <v>43333</v>
      </c>
      <c r="C764">
        <v>17</v>
      </c>
      <c r="D764" s="1" t="s">
        <v>28</v>
      </c>
      <c r="E764" s="1" t="s">
        <v>23</v>
      </c>
      <c r="F764" s="1" t="s">
        <v>24</v>
      </c>
      <c r="G764" s="1" t="s">
        <v>26</v>
      </c>
      <c r="H764">
        <v>69</v>
      </c>
      <c r="I764">
        <v>8</v>
      </c>
      <c r="J764">
        <v>552</v>
      </c>
    </row>
    <row r="765" spans="1:10" x14ac:dyDescent="0.25">
      <c r="A765">
        <v>764</v>
      </c>
      <c r="B765" s="2">
        <v>43334</v>
      </c>
      <c r="C765">
        <v>8</v>
      </c>
      <c r="D765" s="1" t="s">
        <v>34</v>
      </c>
      <c r="E765" s="1" t="s">
        <v>35</v>
      </c>
      <c r="F765" s="1" t="s">
        <v>20</v>
      </c>
      <c r="G765" s="1" t="s">
        <v>32</v>
      </c>
      <c r="H765">
        <v>399</v>
      </c>
      <c r="I765">
        <v>2</v>
      </c>
      <c r="J765">
        <v>798</v>
      </c>
    </row>
    <row r="766" spans="1:10" x14ac:dyDescent="0.25">
      <c r="A766">
        <v>765</v>
      </c>
      <c r="B766" s="2">
        <v>43334</v>
      </c>
      <c r="C766">
        <v>19</v>
      </c>
      <c r="D766" s="1" t="s">
        <v>38</v>
      </c>
      <c r="E766" s="1" t="s">
        <v>29</v>
      </c>
      <c r="F766" s="1" t="s">
        <v>24</v>
      </c>
      <c r="G766" s="1" t="s">
        <v>21</v>
      </c>
      <c r="H766">
        <v>159</v>
      </c>
      <c r="I766">
        <v>8</v>
      </c>
      <c r="J766">
        <v>1272</v>
      </c>
    </row>
    <row r="767" spans="1:10" x14ac:dyDescent="0.25">
      <c r="A767">
        <v>766</v>
      </c>
      <c r="B767" s="2">
        <v>43334</v>
      </c>
      <c r="C767">
        <v>14</v>
      </c>
      <c r="D767" s="1" t="s">
        <v>30</v>
      </c>
      <c r="E767" s="1" t="s">
        <v>41</v>
      </c>
      <c r="F767" s="1" t="s">
        <v>12</v>
      </c>
      <c r="G767" s="1" t="s">
        <v>32</v>
      </c>
      <c r="H767">
        <v>399</v>
      </c>
      <c r="I767">
        <v>9</v>
      </c>
      <c r="J767">
        <v>3591</v>
      </c>
    </row>
    <row r="768" spans="1:10" x14ac:dyDescent="0.25">
      <c r="A768">
        <v>767</v>
      </c>
      <c r="B768" s="2">
        <v>43335</v>
      </c>
      <c r="C768">
        <v>13</v>
      </c>
      <c r="D768" s="1" t="s">
        <v>27</v>
      </c>
      <c r="E768" s="1" t="s">
        <v>11</v>
      </c>
      <c r="F768" s="1" t="s">
        <v>12</v>
      </c>
      <c r="G768" s="1" t="s">
        <v>13</v>
      </c>
      <c r="H768">
        <v>199</v>
      </c>
      <c r="I768">
        <v>1</v>
      </c>
      <c r="J768">
        <v>199</v>
      </c>
    </row>
    <row r="769" spans="1:10" x14ac:dyDescent="0.25">
      <c r="A769">
        <v>768</v>
      </c>
      <c r="B769" s="2">
        <v>43336</v>
      </c>
      <c r="C769">
        <v>15</v>
      </c>
      <c r="D769" s="1" t="s">
        <v>46</v>
      </c>
      <c r="E769" s="1" t="s">
        <v>41</v>
      </c>
      <c r="F769" s="1" t="s">
        <v>12</v>
      </c>
      <c r="G769" s="1" t="s">
        <v>21</v>
      </c>
      <c r="H769">
        <v>159</v>
      </c>
      <c r="I769">
        <v>1</v>
      </c>
      <c r="J769">
        <v>159</v>
      </c>
    </row>
    <row r="770" spans="1:10" x14ac:dyDescent="0.25">
      <c r="A770">
        <v>769</v>
      </c>
      <c r="B770" s="2">
        <v>43337</v>
      </c>
      <c r="C770">
        <v>7</v>
      </c>
      <c r="D770" s="1" t="s">
        <v>44</v>
      </c>
      <c r="E770" s="1" t="s">
        <v>19</v>
      </c>
      <c r="F770" s="1" t="s">
        <v>20</v>
      </c>
      <c r="G770" s="1" t="s">
        <v>32</v>
      </c>
      <c r="H770">
        <v>399</v>
      </c>
      <c r="I770">
        <v>6</v>
      </c>
      <c r="J770">
        <v>2394</v>
      </c>
    </row>
    <row r="771" spans="1:10" x14ac:dyDescent="0.25">
      <c r="A771">
        <v>770</v>
      </c>
      <c r="B771" s="2">
        <v>43337</v>
      </c>
      <c r="C771">
        <v>11</v>
      </c>
      <c r="D771" s="1" t="s">
        <v>10</v>
      </c>
      <c r="E771" s="1" t="s">
        <v>11</v>
      </c>
      <c r="F771" s="1" t="s">
        <v>12</v>
      </c>
      <c r="G771" s="1" t="s">
        <v>32</v>
      </c>
      <c r="H771">
        <v>399</v>
      </c>
      <c r="I771">
        <v>0</v>
      </c>
      <c r="J771">
        <v>0</v>
      </c>
    </row>
    <row r="772" spans="1:10" x14ac:dyDescent="0.25">
      <c r="A772">
        <v>771</v>
      </c>
      <c r="B772" s="2">
        <v>43338</v>
      </c>
      <c r="C772">
        <v>4</v>
      </c>
      <c r="D772" s="1" t="s">
        <v>37</v>
      </c>
      <c r="E772" s="1" t="s">
        <v>15</v>
      </c>
      <c r="F772" s="1" t="s">
        <v>16</v>
      </c>
      <c r="G772" s="1" t="s">
        <v>17</v>
      </c>
      <c r="H772">
        <v>289</v>
      </c>
      <c r="I772">
        <v>2</v>
      </c>
      <c r="J772">
        <v>578</v>
      </c>
    </row>
    <row r="773" spans="1:10" x14ac:dyDescent="0.25">
      <c r="A773">
        <v>772</v>
      </c>
      <c r="B773" s="2">
        <v>43338</v>
      </c>
      <c r="C773">
        <v>6</v>
      </c>
      <c r="D773" s="1" t="s">
        <v>36</v>
      </c>
      <c r="E773" s="1" t="s">
        <v>35</v>
      </c>
      <c r="F773" s="1" t="s">
        <v>20</v>
      </c>
      <c r="G773" s="1" t="s">
        <v>17</v>
      </c>
      <c r="H773">
        <v>289</v>
      </c>
      <c r="I773">
        <v>3</v>
      </c>
      <c r="J773">
        <v>867</v>
      </c>
    </row>
    <row r="774" spans="1:10" x14ac:dyDescent="0.25">
      <c r="A774">
        <v>773</v>
      </c>
      <c r="B774" s="2">
        <v>43338</v>
      </c>
      <c r="C774">
        <v>20</v>
      </c>
      <c r="D774" s="1" t="s">
        <v>31</v>
      </c>
      <c r="E774" s="1" t="s">
        <v>29</v>
      </c>
      <c r="F774" s="1" t="s">
        <v>24</v>
      </c>
      <c r="G774" s="1" t="s">
        <v>26</v>
      </c>
      <c r="H774">
        <v>69</v>
      </c>
      <c r="I774">
        <v>0</v>
      </c>
      <c r="J774">
        <v>0</v>
      </c>
    </row>
    <row r="775" spans="1:10" x14ac:dyDescent="0.25">
      <c r="A775">
        <v>774</v>
      </c>
      <c r="B775" s="2">
        <v>43338</v>
      </c>
      <c r="C775">
        <v>15</v>
      </c>
      <c r="D775" s="1" t="s">
        <v>46</v>
      </c>
      <c r="E775" s="1" t="s">
        <v>11</v>
      </c>
      <c r="F775" s="1" t="s">
        <v>12</v>
      </c>
      <c r="G775" s="1" t="s">
        <v>26</v>
      </c>
      <c r="H775">
        <v>69</v>
      </c>
      <c r="I775">
        <v>2</v>
      </c>
      <c r="J775">
        <v>138</v>
      </c>
    </row>
    <row r="776" spans="1:10" x14ac:dyDescent="0.25">
      <c r="A776">
        <v>775</v>
      </c>
      <c r="B776" s="2">
        <v>43338</v>
      </c>
      <c r="C776">
        <v>13</v>
      </c>
      <c r="D776" s="1" t="s">
        <v>27</v>
      </c>
      <c r="E776" s="1" t="s">
        <v>41</v>
      </c>
      <c r="F776" s="1" t="s">
        <v>12</v>
      </c>
      <c r="G776" s="1" t="s">
        <v>32</v>
      </c>
      <c r="H776">
        <v>399</v>
      </c>
      <c r="I776">
        <v>1</v>
      </c>
      <c r="J776">
        <v>399</v>
      </c>
    </row>
    <row r="777" spans="1:10" x14ac:dyDescent="0.25">
      <c r="A777">
        <v>776</v>
      </c>
      <c r="B777" s="2">
        <v>43339</v>
      </c>
      <c r="C777">
        <v>17</v>
      </c>
      <c r="D777" s="1" t="s">
        <v>28</v>
      </c>
      <c r="E777" s="1" t="s">
        <v>29</v>
      </c>
      <c r="F777" s="1" t="s">
        <v>24</v>
      </c>
      <c r="G777" s="1" t="s">
        <v>32</v>
      </c>
      <c r="H777">
        <v>399</v>
      </c>
      <c r="I777">
        <v>2</v>
      </c>
      <c r="J777">
        <v>798</v>
      </c>
    </row>
    <row r="778" spans="1:10" x14ac:dyDescent="0.25">
      <c r="A778">
        <v>777</v>
      </c>
      <c r="B778" s="2">
        <v>43339</v>
      </c>
      <c r="C778">
        <v>4</v>
      </c>
      <c r="D778" s="1" t="s">
        <v>37</v>
      </c>
      <c r="E778" s="1" t="s">
        <v>43</v>
      </c>
      <c r="F778" s="1" t="s">
        <v>16</v>
      </c>
      <c r="G778" s="1" t="s">
        <v>32</v>
      </c>
      <c r="H778">
        <v>399</v>
      </c>
      <c r="I778">
        <v>3</v>
      </c>
      <c r="J778">
        <v>1197</v>
      </c>
    </row>
    <row r="779" spans="1:10" x14ac:dyDescent="0.25">
      <c r="A779">
        <v>778</v>
      </c>
      <c r="B779" s="2">
        <v>43339</v>
      </c>
      <c r="C779">
        <v>2</v>
      </c>
      <c r="D779" s="1" t="s">
        <v>45</v>
      </c>
      <c r="E779" s="1" t="s">
        <v>15</v>
      </c>
      <c r="F779" s="1" t="s">
        <v>16</v>
      </c>
      <c r="G779" s="1" t="s">
        <v>17</v>
      </c>
      <c r="H779">
        <v>289</v>
      </c>
      <c r="I779">
        <v>5</v>
      </c>
      <c r="J779">
        <v>1445</v>
      </c>
    </row>
    <row r="780" spans="1:10" x14ac:dyDescent="0.25">
      <c r="A780">
        <v>779</v>
      </c>
      <c r="B780" s="2">
        <v>43339</v>
      </c>
      <c r="C780">
        <v>14</v>
      </c>
      <c r="D780" s="1" t="s">
        <v>30</v>
      </c>
      <c r="E780" s="1" t="s">
        <v>41</v>
      </c>
      <c r="F780" s="1" t="s">
        <v>12</v>
      </c>
      <c r="G780" s="1" t="s">
        <v>17</v>
      </c>
      <c r="H780">
        <v>289</v>
      </c>
      <c r="I780">
        <v>6</v>
      </c>
      <c r="J780">
        <v>1734</v>
      </c>
    </row>
    <row r="781" spans="1:10" x14ac:dyDescent="0.25">
      <c r="A781">
        <v>780</v>
      </c>
      <c r="B781" s="2">
        <v>43339</v>
      </c>
      <c r="C781">
        <v>7</v>
      </c>
      <c r="D781" s="1" t="s">
        <v>44</v>
      </c>
      <c r="E781" s="1" t="s">
        <v>19</v>
      </c>
      <c r="F781" s="1" t="s">
        <v>20</v>
      </c>
      <c r="G781" s="1" t="s">
        <v>32</v>
      </c>
      <c r="H781">
        <v>399</v>
      </c>
      <c r="I781">
        <v>8</v>
      </c>
      <c r="J781">
        <v>3192</v>
      </c>
    </row>
    <row r="782" spans="1:10" x14ac:dyDescent="0.25">
      <c r="A782">
        <v>781</v>
      </c>
      <c r="B782" s="2">
        <v>43340</v>
      </c>
      <c r="C782">
        <v>11</v>
      </c>
      <c r="D782" s="1" t="s">
        <v>10</v>
      </c>
      <c r="E782" s="1" t="s">
        <v>41</v>
      </c>
      <c r="F782" s="1" t="s">
        <v>12</v>
      </c>
      <c r="G782" s="1" t="s">
        <v>26</v>
      </c>
      <c r="H782">
        <v>69</v>
      </c>
      <c r="I782">
        <v>6</v>
      </c>
      <c r="J782">
        <v>414</v>
      </c>
    </row>
    <row r="783" spans="1:10" x14ac:dyDescent="0.25">
      <c r="A783">
        <v>782</v>
      </c>
      <c r="B783" s="2">
        <v>43341</v>
      </c>
      <c r="C783">
        <v>1</v>
      </c>
      <c r="D783" s="1" t="s">
        <v>14</v>
      </c>
      <c r="E783" s="1" t="s">
        <v>15</v>
      </c>
      <c r="F783" s="1" t="s">
        <v>16</v>
      </c>
      <c r="G783" s="1" t="s">
        <v>21</v>
      </c>
      <c r="H783">
        <v>159</v>
      </c>
      <c r="I783">
        <v>9</v>
      </c>
      <c r="J783">
        <v>1431</v>
      </c>
    </row>
    <row r="784" spans="1:10" x14ac:dyDescent="0.25">
      <c r="A784">
        <v>783</v>
      </c>
      <c r="B784" s="2">
        <v>43341</v>
      </c>
      <c r="C784">
        <v>8</v>
      </c>
      <c r="D784" s="1" t="s">
        <v>34</v>
      </c>
      <c r="E784" s="1" t="s">
        <v>19</v>
      </c>
      <c r="F784" s="1" t="s">
        <v>20</v>
      </c>
      <c r="G784" s="1" t="s">
        <v>32</v>
      </c>
      <c r="H784">
        <v>399</v>
      </c>
      <c r="I784">
        <v>3</v>
      </c>
      <c r="J784">
        <v>1197</v>
      </c>
    </row>
    <row r="785" spans="1:10" x14ac:dyDescent="0.25">
      <c r="A785">
        <v>784</v>
      </c>
      <c r="B785" s="2">
        <v>43341</v>
      </c>
      <c r="C785">
        <v>2</v>
      </c>
      <c r="D785" s="1" t="s">
        <v>45</v>
      </c>
      <c r="E785" s="1" t="s">
        <v>15</v>
      </c>
      <c r="F785" s="1" t="s">
        <v>16</v>
      </c>
      <c r="G785" s="1" t="s">
        <v>13</v>
      </c>
      <c r="H785">
        <v>199</v>
      </c>
      <c r="I785">
        <v>5</v>
      </c>
      <c r="J785">
        <v>995</v>
      </c>
    </row>
    <row r="786" spans="1:10" x14ac:dyDescent="0.25">
      <c r="A786">
        <v>785</v>
      </c>
      <c r="B786" s="2">
        <v>43341</v>
      </c>
      <c r="C786">
        <v>5</v>
      </c>
      <c r="D786" s="1" t="s">
        <v>40</v>
      </c>
      <c r="E786" s="1" t="s">
        <v>43</v>
      </c>
      <c r="F786" s="1" t="s">
        <v>16</v>
      </c>
      <c r="G786" s="1" t="s">
        <v>32</v>
      </c>
      <c r="H786">
        <v>399</v>
      </c>
      <c r="I786">
        <v>6</v>
      </c>
      <c r="J786">
        <v>2394</v>
      </c>
    </row>
    <row r="787" spans="1:10" x14ac:dyDescent="0.25">
      <c r="A787">
        <v>786</v>
      </c>
      <c r="B787" s="2">
        <v>43341</v>
      </c>
      <c r="C787">
        <v>4</v>
      </c>
      <c r="D787" s="1" t="s">
        <v>37</v>
      </c>
      <c r="E787" s="1" t="s">
        <v>43</v>
      </c>
      <c r="F787" s="1" t="s">
        <v>16</v>
      </c>
      <c r="G787" s="1" t="s">
        <v>17</v>
      </c>
      <c r="H787">
        <v>289</v>
      </c>
      <c r="I787">
        <v>6</v>
      </c>
      <c r="J787">
        <v>1734</v>
      </c>
    </row>
    <row r="788" spans="1:10" x14ac:dyDescent="0.25">
      <c r="A788">
        <v>787</v>
      </c>
      <c r="B788" s="2">
        <v>43342</v>
      </c>
      <c r="C788">
        <v>14</v>
      </c>
      <c r="D788" s="1" t="s">
        <v>30</v>
      </c>
      <c r="E788" s="1" t="s">
        <v>11</v>
      </c>
      <c r="F788" s="1" t="s">
        <v>12</v>
      </c>
      <c r="G788" s="1" t="s">
        <v>26</v>
      </c>
      <c r="H788">
        <v>69</v>
      </c>
      <c r="I788">
        <v>1</v>
      </c>
      <c r="J788">
        <v>69</v>
      </c>
    </row>
    <row r="789" spans="1:10" x14ac:dyDescent="0.25">
      <c r="A789">
        <v>788</v>
      </c>
      <c r="B789" s="2">
        <v>43342</v>
      </c>
      <c r="C789">
        <v>14</v>
      </c>
      <c r="D789" s="1" t="s">
        <v>30</v>
      </c>
      <c r="E789" s="1" t="s">
        <v>41</v>
      </c>
      <c r="F789" s="1" t="s">
        <v>12</v>
      </c>
      <c r="G789" s="1" t="s">
        <v>13</v>
      </c>
      <c r="H789">
        <v>199</v>
      </c>
      <c r="I789">
        <v>6</v>
      </c>
      <c r="J789">
        <v>1194</v>
      </c>
    </row>
    <row r="790" spans="1:10" x14ac:dyDescent="0.25">
      <c r="A790">
        <v>789</v>
      </c>
      <c r="B790" s="2">
        <v>43342</v>
      </c>
      <c r="C790">
        <v>6</v>
      </c>
      <c r="D790" s="1" t="s">
        <v>36</v>
      </c>
      <c r="E790" s="1" t="s">
        <v>35</v>
      </c>
      <c r="F790" s="1" t="s">
        <v>20</v>
      </c>
      <c r="G790" s="1" t="s">
        <v>21</v>
      </c>
      <c r="H790">
        <v>159</v>
      </c>
      <c r="I790">
        <v>8</v>
      </c>
      <c r="J790">
        <v>1272</v>
      </c>
    </row>
    <row r="791" spans="1:10" x14ac:dyDescent="0.25">
      <c r="A791">
        <v>790</v>
      </c>
      <c r="B791" s="2">
        <v>43342</v>
      </c>
      <c r="C791">
        <v>13</v>
      </c>
      <c r="D791" s="1" t="s">
        <v>27</v>
      </c>
      <c r="E791" s="1" t="s">
        <v>41</v>
      </c>
      <c r="F791" s="1" t="s">
        <v>12</v>
      </c>
      <c r="G791" s="1" t="s">
        <v>21</v>
      </c>
      <c r="H791">
        <v>159</v>
      </c>
      <c r="I791">
        <v>8</v>
      </c>
      <c r="J791">
        <v>1272</v>
      </c>
    </row>
    <row r="792" spans="1:10" x14ac:dyDescent="0.25">
      <c r="A792">
        <v>791</v>
      </c>
      <c r="B792" s="2">
        <v>43343</v>
      </c>
      <c r="C792">
        <v>18</v>
      </c>
      <c r="D792" s="1" t="s">
        <v>22</v>
      </c>
      <c r="E792" s="1" t="s">
        <v>23</v>
      </c>
      <c r="F792" s="1" t="s">
        <v>24</v>
      </c>
      <c r="G792" s="1" t="s">
        <v>32</v>
      </c>
      <c r="H792">
        <v>399</v>
      </c>
      <c r="I792">
        <v>3</v>
      </c>
      <c r="J792">
        <v>1197</v>
      </c>
    </row>
    <row r="793" spans="1:10" x14ac:dyDescent="0.25">
      <c r="A793">
        <v>792</v>
      </c>
      <c r="B793" s="2">
        <v>43343</v>
      </c>
      <c r="C793">
        <v>16</v>
      </c>
      <c r="D793" s="1" t="s">
        <v>25</v>
      </c>
      <c r="E793" s="1" t="s">
        <v>23</v>
      </c>
      <c r="F793" s="1" t="s">
        <v>24</v>
      </c>
      <c r="G793" s="1" t="s">
        <v>21</v>
      </c>
      <c r="H793">
        <v>159</v>
      </c>
      <c r="I793">
        <v>9</v>
      </c>
      <c r="J793">
        <v>1431</v>
      </c>
    </row>
    <row r="794" spans="1:10" x14ac:dyDescent="0.25">
      <c r="A794">
        <v>793</v>
      </c>
      <c r="B794" s="2">
        <v>43344</v>
      </c>
      <c r="C794">
        <v>10</v>
      </c>
      <c r="D794" s="1" t="s">
        <v>39</v>
      </c>
      <c r="E794" s="1" t="s">
        <v>35</v>
      </c>
      <c r="F794" s="1" t="s">
        <v>20</v>
      </c>
      <c r="G794" s="1" t="s">
        <v>32</v>
      </c>
      <c r="H794">
        <v>399</v>
      </c>
      <c r="I794">
        <v>3</v>
      </c>
      <c r="J794">
        <v>1197</v>
      </c>
    </row>
    <row r="795" spans="1:10" x14ac:dyDescent="0.25">
      <c r="A795">
        <v>794</v>
      </c>
      <c r="B795" s="2">
        <v>43344</v>
      </c>
      <c r="C795">
        <v>11</v>
      </c>
      <c r="D795" s="1" t="s">
        <v>10</v>
      </c>
      <c r="E795" s="1" t="s">
        <v>11</v>
      </c>
      <c r="F795" s="1" t="s">
        <v>12</v>
      </c>
      <c r="G795" s="1" t="s">
        <v>13</v>
      </c>
      <c r="H795">
        <v>199</v>
      </c>
      <c r="I795">
        <v>8</v>
      </c>
      <c r="J795">
        <v>1592</v>
      </c>
    </row>
    <row r="796" spans="1:10" x14ac:dyDescent="0.25">
      <c r="A796">
        <v>795</v>
      </c>
      <c r="B796" s="2">
        <v>43344</v>
      </c>
      <c r="C796">
        <v>13</v>
      </c>
      <c r="D796" s="1" t="s">
        <v>27</v>
      </c>
      <c r="E796" s="1" t="s">
        <v>41</v>
      </c>
      <c r="F796" s="1" t="s">
        <v>12</v>
      </c>
      <c r="G796" s="1" t="s">
        <v>13</v>
      </c>
      <c r="H796">
        <v>199</v>
      </c>
      <c r="I796">
        <v>9</v>
      </c>
      <c r="J796">
        <v>1791</v>
      </c>
    </row>
    <row r="797" spans="1:10" x14ac:dyDescent="0.25">
      <c r="A797">
        <v>796</v>
      </c>
      <c r="B797" s="2">
        <v>43344</v>
      </c>
      <c r="C797">
        <v>18</v>
      </c>
      <c r="D797" s="1" t="s">
        <v>22</v>
      </c>
      <c r="E797" s="1" t="s">
        <v>29</v>
      </c>
      <c r="F797" s="1" t="s">
        <v>24</v>
      </c>
      <c r="G797" s="1" t="s">
        <v>17</v>
      </c>
      <c r="H797">
        <v>289</v>
      </c>
      <c r="I797">
        <v>4</v>
      </c>
      <c r="J797">
        <v>1156</v>
      </c>
    </row>
    <row r="798" spans="1:10" x14ac:dyDescent="0.25">
      <c r="A798">
        <v>797</v>
      </c>
      <c r="B798" s="2">
        <v>43345</v>
      </c>
      <c r="C798">
        <v>4</v>
      </c>
      <c r="D798" s="1" t="s">
        <v>37</v>
      </c>
      <c r="E798" s="1" t="s">
        <v>43</v>
      </c>
      <c r="F798" s="1" t="s">
        <v>16</v>
      </c>
      <c r="G798" s="1" t="s">
        <v>26</v>
      </c>
      <c r="H798">
        <v>69</v>
      </c>
      <c r="I798">
        <v>2</v>
      </c>
      <c r="J798">
        <v>138</v>
      </c>
    </row>
    <row r="799" spans="1:10" x14ac:dyDescent="0.25">
      <c r="A799">
        <v>798</v>
      </c>
      <c r="B799" s="2">
        <v>43345</v>
      </c>
      <c r="C799">
        <v>20</v>
      </c>
      <c r="D799" s="1" t="s">
        <v>31</v>
      </c>
      <c r="E799" s="1" t="s">
        <v>29</v>
      </c>
      <c r="F799" s="1" t="s">
        <v>24</v>
      </c>
      <c r="G799" s="1" t="s">
        <v>26</v>
      </c>
      <c r="H799">
        <v>69</v>
      </c>
      <c r="I799">
        <v>6</v>
      </c>
      <c r="J799">
        <v>414</v>
      </c>
    </row>
    <row r="800" spans="1:10" x14ac:dyDescent="0.25">
      <c r="A800">
        <v>799</v>
      </c>
      <c r="B800" s="2">
        <v>43346</v>
      </c>
      <c r="C800">
        <v>16</v>
      </c>
      <c r="D800" s="1" t="s">
        <v>25</v>
      </c>
      <c r="E800" s="1" t="s">
        <v>29</v>
      </c>
      <c r="F800" s="1" t="s">
        <v>24</v>
      </c>
      <c r="G800" s="1" t="s">
        <v>32</v>
      </c>
      <c r="H800">
        <v>399</v>
      </c>
      <c r="I800">
        <v>5</v>
      </c>
      <c r="J800">
        <v>1995</v>
      </c>
    </row>
    <row r="801" spans="1:10" x14ac:dyDescent="0.25">
      <c r="A801">
        <v>800</v>
      </c>
      <c r="B801" s="2">
        <v>43346</v>
      </c>
      <c r="C801">
        <v>3</v>
      </c>
      <c r="D801" s="1" t="s">
        <v>33</v>
      </c>
      <c r="E801" s="1" t="s">
        <v>43</v>
      </c>
      <c r="F801" s="1" t="s">
        <v>16</v>
      </c>
      <c r="G801" s="1" t="s">
        <v>21</v>
      </c>
      <c r="H801">
        <v>159</v>
      </c>
      <c r="I801">
        <v>4</v>
      </c>
      <c r="J801">
        <v>636</v>
      </c>
    </row>
    <row r="802" spans="1:10" x14ac:dyDescent="0.25">
      <c r="A802">
        <v>801</v>
      </c>
      <c r="B802" s="2">
        <v>43346</v>
      </c>
      <c r="C802">
        <v>10</v>
      </c>
      <c r="D802" s="1" t="s">
        <v>39</v>
      </c>
      <c r="E802" s="1" t="s">
        <v>35</v>
      </c>
      <c r="F802" s="1" t="s">
        <v>20</v>
      </c>
      <c r="G802" s="1" t="s">
        <v>17</v>
      </c>
      <c r="H802">
        <v>289</v>
      </c>
      <c r="I802">
        <v>7</v>
      </c>
      <c r="J802">
        <v>2023</v>
      </c>
    </row>
    <row r="803" spans="1:10" x14ac:dyDescent="0.25">
      <c r="A803">
        <v>802</v>
      </c>
      <c r="B803" s="2">
        <v>43346</v>
      </c>
      <c r="C803">
        <v>6</v>
      </c>
      <c r="D803" s="1" t="s">
        <v>36</v>
      </c>
      <c r="E803" s="1" t="s">
        <v>35</v>
      </c>
      <c r="F803" s="1" t="s">
        <v>20</v>
      </c>
      <c r="G803" s="1" t="s">
        <v>32</v>
      </c>
      <c r="H803">
        <v>399</v>
      </c>
      <c r="I803">
        <v>8</v>
      </c>
      <c r="J803">
        <v>3192</v>
      </c>
    </row>
    <row r="804" spans="1:10" x14ac:dyDescent="0.25">
      <c r="A804">
        <v>803</v>
      </c>
      <c r="B804" s="2">
        <v>43346</v>
      </c>
      <c r="C804">
        <v>17</v>
      </c>
      <c r="D804" s="1" t="s">
        <v>28</v>
      </c>
      <c r="E804" s="1" t="s">
        <v>29</v>
      </c>
      <c r="F804" s="1" t="s">
        <v>24</v>
      </c>
      <c r="G804" s="1" t="s">
        <v>13</v>
      </c>
      <c r="H804">
        <v>199</v>
      </c>
      <c r="I804">
        <v>5</v>
      </c>
      <c r="J804">
        <v>995</v>
      </c>
    </row>
    <row r="805" spans="1:10" x14ac:dyDescent="0.25">
      <c r="A805">
        <v>804</v>
      </c>
      <c r="B805" s="2">
        <v>43347</v>
      </c>
      <c r="C805">
        <v>16</v>
      </c>
      <c r="D805" s="1" t="s">
        <v>25</v>
      </c>
      <c r="E805" s="1" t="s">
        <v>23</v>
      </c>
      <c r="F805" s="1" t="s">
        <v>24</v>
      </c>
      <c r="G805" s="1" t="s">
        <v>26</v>
      </c>
      <c r="H805">
        <v>69</v>
      </c>
      <c r="I805">
        <v>1</v>
      </c>
      <c r="J805">
        <v>69</v>
      </c>
    </row>
    <row r="806" spans="1:10" x14ac:dyDescent="0.25">
      <c r="A806">
        <v>805</v>
      </c>
      <c r="B806" s="2">
        <v>43348</v>
      </c>
      <c r="C806">
        <v>19</v>
      </c>
      <c r="D806" s="1" t="s">
        <v>38</v>
      </c>
      <c r="E806" s="1" t="s">
        <v>29</v>
      </c>
      <c r="F806" s="1" t="s">
        <v>24</v>
      </c>
      <c r="G806" s="1" t="s">
        <v>32</v>
      </c>
      <c r="H806">
        <v>399</v>
      </c>
      <c r="I806">
        <v>7</v>
      </c>
      <c r="J806">
        <v>2793</v>
      </c>
    </row>
    <row r="807" spans="1:10" x14ac:dyDescent="0.25">
      <c r="A807">
        <v>806</v>
      </c>
      <c r="B807" s="2">
        <v>43348</v>
      </c>
      <c r="C807">
        <v>5</v>
      </c>
      <c r="D807" s="1" t="s">
        <v>40</v>
      </c>
      <c r="E807" s="1" t="s">
        <v>15</v>
      </c>
      <c r="F807" s="1" t="s">
        <v>16</v>
      </c>
      <c r="G807" s="1" t="s">
        <v>32</v>
      </c>
      <c r="H807">
        <v>399</v>
      </c>
      <c r="I807">
        <v>6</v>
      </c>
      <c r="J807">
        <v>2394</v>
      </c>
    </row>
    <row r="808" spans="1:10" x14ac:dyDescent="0.25">
      <c r="A808">
        <v>807</v>
      </c>
      <c r="B808" s="2">
        <v>43348</v>
      </c>
      <c r="C808">
        <v>11</v>
      </c>
      <c r="D808" s="1" t="s">
        <v>10</v>
      </c>
      <c r="E808" s="1" t="s">
        <v>11</v>
      </c>
      <c r="F808" s="1" t="s">
        <v>12</v>
      </c>
      <c r="G808" s="1" t="s">
        <v>21</v>
      </c>
      <c r="H808">
        <v>159</v>
      </c>
      <c r="I808">
        <v>5</v>
      </c>
      <c r="J808">
        <v>795</v>
      </c>
    </row>
    <row r="809" spans="1:10" x14ac:dyDescent="0.25">
      <c r="A809">
        <v>808</v>
      </c>
      <c r="B809" s="2">
        <v>43349</v>
      </c>
      <c r="C809">
        <v>13</v>
      </c>
      <c r="D809" s="1" t="s">
        <v>27</v>
      </c>
      <c r="E809" s="1" t="s">
        <v>41</v>
      </c>
      <c r="F809" s="1" t="s">
        <v>12</v>
      </c>
      <c r="G809" s="1" t="s">
        <v>26</v>
      </c>
      <c r="H809">
        <v>69</v>
      </c>
      <c r="I809">
        <v>5</v>
      </c>
      <c r="J809">
        <v>345</v>
      </c>
    </row>
    <row r="810" spans="1:10" x14ac:dyDescent="0.25">
      <c r="A810">
        <v>809</v>
      </c>
      <c r="B810" s="2">
        <v>43349</v>
      </c>
      <c r="C810">
        <v>19</v>
      </c>
      <c r="D810" s="1" t="s">
        <v>38</v>
      </c>
      <c r="E810" s="1" t="s">
        <v>23</v>
      </c>
      <c r="F810" s="1" t="s">
        <v>24</v>
      </c>
      <c r="G810" s="1" t="s">
        <v>13</v>
      </c>
      <c r="H810">
        <v>199</v>
      </c>
      <c r="I810">
        <v>9</v>
      </c>
      <c r="J810">
        <v>1791</v>
      </c>
    </row>
    <row r="811" spans="1:10" x14ac:dyDescent="0.25">
      <c r="A811">
        <v>810</v>
      </c>
      <c r="B811" s="2">
        <v>43349</v>
      </c>
      <c r="C811">
        <v>15</v>
      </c>
      <c r="D811" s="1" t="s">
        <v>46</v>
      </c>
      <c r="E811" s="1" t="s">
        <v>11</v>
      </c>
      <c r="F811" s="1" t="s">
        <v>12</v>
      </c>
      <c r="G811" s="1" t="s">
        <v>26</v>
      </c>
      <c r="H811">
        <v>69</v>
      </c>
      <c r="I811">
        <v>5</v>
      </c>
      <c r="J811">
        <v>345</v>
      </c>
    </row>
    <row r="812" spans="1:10" x14ac:dyDescent="0.25">
      <c r="A812">
        <v>811</v>
      </c>
      <c r="B812" s="2">
        <v>43349</v>
      </c>
      <c r="C812">
        <v>14</v>
      </c>
      <c r="D812" s="1" t="s">
        <v>30</v>
      </c>
      <c r="E812" s="1" t="s">
        <v>11</v>
      </c>
      <c r="F812" s="1" t="s">
        <v>12</v>
      </c>
      <c r="G812" s="1" t="s">
        <v>26</v>
      </c>
      <c r="H812">
        <v>69</v>
      </c>
      <c r="I812">
        <v>9</v>
      </c>
      <c r="J812">
        <v>621</v>
      </c>
    </row>
    <row r="813" spans="1:10" x14ac:dyDescent="0.25">
      <c r="A813">
        <v>812</v>
      </c>
      <c r="B813" s="2">
        <v>43350</v>
      </c>
      <c r="C813">
        <v>16</v>
      </c>
      <c r="D813" s="1" t="s">
        <v>25</v>
      </c>
      <c r="E813" s="1" t="s">
        <v>29</v>
      </c>
      <c r="F813" s="1" t="s">
        <v>24</v>
      </c>
      <c r="G813" s="1" t="s">
        <v>32</v>
      </c>
      <c r="H813">
        <v>399</v>
      </c>
      <c r="I813">
        <v>1</v>
      </c>
      <c r="J813">
        <v>399</v>
      </c>
    </row>
    <row r="814" spans="1:10" x14ac:dyDescent="0.25">
      <c r="A814">
        <v>813</v>
      </c>
      <c r="B814" s="2">
        <v>43351</v>
      </c>
      <c r="C814">
        <v>16</v>
      </c>
      <c r="D814" s="1" t="s">
        <v>25</v>
      </c>
      <c r="E814" s="1" t="s">
        <v>29</v>
      </c>
      <c r="F814" s="1" t="s">
        <v>24</v>
      </c>
      <c r="G814" s="1" t="s">
        <v>21</v>
      </c>
      <c r="H814">
        <v>159</v>
      </c>
      <c r="I814">
        <v>8</v>
      </c>
      <c r="J814">
        <v>1272</v>
      </c>
    </row>
    <row r="815" spans="1:10" x14ac:dyDescent="0.25">
      <c r="A815">
        <v>814</v>
      </c>
      <c r="B815" s="2">
        <v>43351</v>
      </c>
      <c r="C815">
        <v>16</v>
      </c>
      <c r="D815" s="1" t="s">
        <v>25</v>
      </c>
      <c r="E815" s="1" t="s">
        <v>23</v>
      </c>
      <c r="F815" s="1" t="s">
        <v>24</v>
      </c>
      <c r="G815" s="1" t="s">
        <v>21</v>
      </c>
      <c r="H815">
        <v>159</v>
      </c>
      <c r="I815">
        <v>4</v>
      </c>
      <c r="J815">
        <v>636</v>
      </c>
    </row>
    <row r="816" spans="1:10" x14ac:dyDescent="0.25">
      <c r="A816">
        <v>815</v>
      </c>
      <c r="B816" s="2">
        <v>43351</v>
      </c>
      <c r="C816">
        <v>3</v>
      </c>
      <c r="D816" s="1" t="s">
        <v>33</v>
      </c>
      <c r="E816" s="1" t="s">
        <v>15</v>
      </c>
      <c r="F816" s="1" t="s">
        <v>16</v>
      </c>
      <c r="G816" s="1" t="s">
        <v>21</v>
      </c>
      <c r="H816">
        <v>159</v>
      </c>
      <c r="I816">
        <v>8</v>
      </c>
      <c r="J816">
        <v>1272</v>
      </c>
    </row>
    <row r="817" spans="1:10" x14ac:dyDescent="0.25">
      <c r="A817">
        <v>816</v>
      </c>
      <c r="B817" s="2">
        <v>43351</v>
      </c>
      <c r="C817">
        <v>15</v>
      </c>
      <c r="D817" s="1" t="s">
        <v>46</v>
      </c>
      <c r="E817" s="1" t="s">
        <v>41</v>
      </c>
      <c r="F817" s="1" t="s">
        <v>12</v>
      </c>
      <c r="G817" s="1" t="s">
        <v>32</v>
      </c>
      <c r="H817">
        <v>399</v>
      </c>
      <c r="I817">
        <v>4</v>
      </c>
      <c r="J817">
        <v>1596</v>
      </c>
    </row>
    <row r="818" spans="1:10" x14ac:dyDescent="0.25">
      <c r="A818">
        <v>817</v>
      </c>
      <c r="B818" s="2">
        <v>43351</v>
      </c>
      <c r="C818">
        <v>20</v>
      </c>
      <c r="D818" s="1" t="s">
        <v>31</v>
      </c>
      <c r="E818" s="1" t="s">
        <v>23</v>
      </c>
      <c r="F818" s="1" t="s">
        <v>24</v>
      </c>
      <c r="G818" s="1" t="s">
        <v>26</v>
      </c>
      <c r="H818">
        <v>69</v>
      </c>
      <c r="I818">
        <v>5</v>
      </c>
      <c r="J818">
        <v>345</v>
      </c>
    </row>
    <row r="819" spans="1:10" x14ac:dyDescent="0.25">
      <c r="A819">
        <v>818</v>
      </c>
      <c r="B819" s="2">
        <v>43352</v>
      </c>
      <c r="C819">
        <v>13</v>
      </c>
      <c r="D819" s="1" t="s">
        <v>27</v>
      </c>
      <c r="E819" s="1" t="s">
        <v>11</v>
      </c>
      <c r="F819" s="1" t="s">
        <v>12</v>
      </c>
      <c r="G819" s="1" t="s">
        <v>32</v>
      </c>
      <c r="H819">
        <v>399</v>
      </c>
      <c r="I819">
        <v>3</v>
      </c>
      <c r="J819">
        <v>1197</v>
      </c>
    </row>
    <row r="820" spans="1:10" x14ac:dyDescent="0.25">
      <c r="A820">
        <v>819</v>
      </c>
      <c r="B820" s="2">
        <v>43352</v>
      </c>
      <c r="C820">
        <v>6</v>
      </c>
      <c r="D820" s="1" t="s">
        <v>36</v>
      </c>
      <c r="E820" s="1" t="s">
        <v>19</v>
      </c>
      <c r="F820" s="1" t="s">
        <v>20</v>
      </c>
      <c r="G820" s="1" t="s">
        <v>17</v>
      </c>
      <c r="H820">
        <v>289</v>
      </c>
      <c r="I820">
        <v>0</v>
      </c>
      <c r="J820">
        <v>0</v>
      </c>
    </row>
    <row r="821" spans="1:10" x14ac:dyDescent="0.25">
      <c r="A821">
        <v>820</v>
      </c>
      <c r="B821" s="2">
        <v>43353</v>
      </c>
      <c r="C821">
        <v>11</v>
      </c>
      <c r="D821" s="1" t="s">
        <v>10</v>
      </c>
      <c r="E821" s="1" t="s">
        <v>41</v>
      </c>
      <c r="F821" s="1" t="s">
        <v>12</v>
      </c>
      <c r="G821" s="1" t="s">
        <v>21</v>
      </c>
      <c r="H821">
        <v>159</v>
      </c>
      <c r="I821">
        <v>4</v>
      </c>
      <c r="J821">
        <v>636</v>
      </c>
    </row>
    <row r="822" spans="1:10" x14ac:dyDescent="0.25">
      <c r="A822">
        <v>821</v>
      </c>
      <c r="B822" s="2">
        <v>43353</v>
      </c>
      <c r="C822">
        <v>12</v>
      </c>
      <c r="D822" s="1" t="s">
        <v>42</v>
      </c>
      <c r="E822" s="1" t="s">
        <v>11</v>
      </c>
      <c r="F822" s="1" t="s">
        <v>12</v>
      </c>
      <c r="G822" s="1" t="s">
        <v>21</v>
      </c>
      <c r="H822">
        <v>159</v>
      </c>
      <c r="I822">
        <v>4</v>
      </c>
      <c r="J822">
        <v>636</v>
      </c>
    </row>
    <row r="823" spans="1:10" x14ac:dyDescent="0.25">
      <c r="A823">
        <v>822</v>
      </c>
      <c r="B823" s="2">
        <v>43353</v>
      </c>
      <c r="C823">
        <v>19</v>
      </c>
      <c r="D823" s="1" t="s">
        <v>38</v>
      </c>
      <c r="E823" s="1" t="s">
        <v>23</v>
      </c>
      <c r="F823" s="1" t="s">
        <v>24</v>
      </c>
      <c r="G823" s="1" t="s">
        <v>32</v>
      </c>
      <c r="H823">
        <v>399</v>
      </c>
      <c r="I823">
        <v>4</v>
      </c>
      <c r="J823">
        <v>1596</v>
      </c>
    </row>
    <row r="824" spans="1:10" x14ac:dyDescent="0.25">
      <c r="A824">
        <v>823</v>
      </c>
      <c r="B824" s="2">
        <v>43353</v>
      </c>
      <c r="C824">
        <v>11</v>
      </c>
      <c r="D824" s="1" t="s">
        <v>10</v>
      </c>
      <c r="E824" s="1" t="s">
        <v>41</v>
      </c>
      <c r="F824" s="1" t="s">
        <v>12</v>
      </c>
      <c r="G824" s="1" t="s">
        <v>26</v>
      </c>
      <c r="H824">
        <v>69</v>
      </c>
      <c r="I824">
        <v>8</v>
      </c>
      <c r="J824">
        <v>552</v>
      </c>
    </row>
    <row r="825" spans="1:10" x14ac:dyDescent="0.25">
      <c r="A825">
        <v>824</v>
      </c>
      <c r="B825" s="2">
        <v>43353</v>
      </c>
      <c r="C825">
        <v>8</v>
      </c>
      <c r="D825" s="1" t="s">
        <v>34</v>
      </c>
      <c r="E825" s="1" t="s">
        <v>19</v>
      </c>
      <c r="F825" s="1" t="s">
        <v>20</v>
      </c>
      <c r="G825" s="1" t="s">
        <v>17</v>
      </c>
      <c r="H825">
        <v>289</v>
      </c>
      <c r="I825">
        <v>0</v>
      </c>
      <c r="J825">
        <v>0</v>
      </c>
    </row>
    <row r="826" spans="1:10" x14ac:dyDescent="0.25">
      <c r="A826">
        <v>825</v>
      </c>
      <c r="B826" s="2">
        <v>43354</v>
      </c>
      <c r="C826">
        <v>20</v>
      </c>
      <c r="D826" s="1" t="s">
        <v>31</v>
      </c>
      <c r="E826" s="1" t="s">
        <v>29</v>
      </c>
      <c r="F826" s="1" t="s">
        <v>24</v>
      </c>
      <c r="G826" s="1" t="s">
        <v>32</v>
      </c>
      <c r="H826">
        <v>399</v>
      </c>
      <c r="I826">
        <v>9</v>
      </c>
      <c r="J826">
        <v>3591</v>
      </c>
    </row>
    <row r="827" spans="1:10" x14ac:dyDescent="0.25">
      <c r="A827">
        <v>826</v>
      </c>
      <c r="B827" s="2">
        <v>43354</v>
      </c>
      <c r="C827">
        <v>15</v>
      </c>
      <c r="D827" s="1" t="s">
        <v>46</v>
      </c>
      <c r="E827" s="1" t="s">
        <v>41</v>
      </c>
      <c r="F827" s="1" t="s">
        <v>12</v>
      </c>
      <c r="G827" s="1" t="s">
        <v>17</v>
      </c>
      <c r="H827">
        <v>289</v>
      </c>
      <c r="I827">
        <v>1</v>
      </c>
      <c r="J827">
        <v>289</v>
      </c>
    </row>
    <row r="828" spans="1:10" x14ac:dyDescent="0.25">
      <c r="A828">
        <v>827</v>
      </c>
      <c r="B828" s="2">
        <v>43354</v>
      </c>
      <c r="C828">
        <v>1</v>
      </c>
      <c r="D828" s="1" t="s">
        <v>14</v>
      </c>
      <c r="E828" s="1" t="s">
        <v>15</v>
      </c>
      <c r="F828" s="1" t="s">
        <v>16</v>
      </c>
      <c r="G828" s="1" t="s">
        <v>21</v>
      </c>
      <c r="H828">
        <v>159</v>
      </c>
      <c r="I828">
        <v>3</v>
      </c>
      <c r="J828">
        <v>477</v>
      </c>
    </row>
    <row r="829" spans="1:10" x14ac:dyDescent="0.25">
      <c r="A829">
        <v>828</v>
      </c>
      <c r="B829" s="2">
        <v>43355</v>
      </c>
      <c r="C829">
        <v>5</v>
      </c>
      <c r="D829" s="1" t="s">
        <v>40</v>
      </c>
      <c r="E829" s="1" t="s">
        <v>15</v>
      </c>
      <c r="F829" s="1" t="s">
        <v>16</v>
      </c>
      <c r="G829" s="1" t="s">
        <v>13</v>
      </c>
      <c r="H829">
        <v>199</v>
      </c>
      <c r="I829">
        <v>3</v>
      </c>
      <c r="J829">
        <v>597</v>
      </c>
    </row>
    <row r="830" spans="1:10" x14ac:dyDescent="0.25">
      <c r="A830">
        <v>829</v>
      </c>
      <c r="B830" s="2">
        <v>43355</v>
      </c>
      <c r="C830">
        <v>14</v>
      </c>
      <c r="D830" s="1" t="s">
        <v>30</v>
      </c>
      <c r="E830" s="1" t="s">
        <v>11</v>
      </c>
      <c r="F830" s="1" t="s">
        <v>12</v>
      </c>
      <c r="G830" s="1" t="s">
        <v>26</v>
      </c>
      <c r="H830">
        <v>69</v>
      </c>
      <c r="I830">
        <v>4</v>
      </c>
      <c r="J830">
        <v>276</v>
      </c>
    </row>
    <row r="831" spans="1:10" x14ac:dyDescent="0.25">
      <c r="A831">
        <v>830</v>
      </c>
      <c r="B831" s="2">
        <v>43356</v>
      </c>
      <c r="C831">
        <v>1</v>
      </c>
      <c r="D831" s="1" t="s">
        <v>14</v>
      </c>
      <c r="E831" s="1" t="s">
        <v>15</v>
      </c>
      <c r="F831" s="1" t="s">
        <v>16</v>
      </c>
      <c r="G831" s="1" t="s">
        <v>32</v>
      </c>
      <c r="H831">
        <v>399</v>
      </c>
      <c r="I831">
        <v>6</v>
      </c>
      <c r="J831">
        <v>2394</v>
      </c>
    </row>
    <row r="832" spans="1:10" x14ac:dyDescent="0.25">
      <c r="A832">
        <v>831</v>
      </c>
      <c r="B832" s="2">
        <v>43357</v>
      </c>
      <c r="C832">
        <v>1</v>
      </c>
      <c r="D832" s="1" t="s">
        <v>14</v>
      </c>
      <c r="E832" s="1" t="s">
        <v>15</v>
      </c>
      <c r="F832" s="1" t="s">
        <v>16</v>
      </c>
      <c r="G832" s="1" t="s">
        <v>13</v>
      </c>
      <c r="H832">
        <v>199</v>
      </c>
      <c r="I832">
        <v>1</v>
      </c>
      <c r="J832">
        <v>199</v>
      </c>
    </row>
    <row r="833" spans="1:10" x14ac:dyDescent="0.25">
      <c r="A833">
        <v>832</v>
      </c>
      <c r="B833" s="2">
        <v>43357</v>
      </c>
      <c r="C833">
        <v>3</v>
      </c>
      <c r="D833" s="1" t="s">
        <v>33</v>
      </c>
      <c r="E833" s="1" t="s">
        <v>43</v>
      </c>
      <c r="F833" s="1" t="s">
        <v>16</v>
      </c>
      <c r="G833" s="1" t="s">
        <v>17</v>
      </c>
      <c r="H833">
        <v>289</v>
      </c>
      <c r="I833">
        <v>1</v>
      </c>
      <c r="J833">
        <v>289</v>
      </c>
    </row>
    <row r="834" spans="1:10" x14ac:dyDescent="0.25">
      <c r="A834">
        <v>833</v>
      </c>
      <c r="B834" s="2">
        <v>43358</v>
      </c>
      <c r="C834">
        <v>16</v>
      </c>
      <c r="D834" s="1" t="s">
        <v>25</v>
      </c>
      <c r="E834" s="1" t="s">
        <v>29</v>
      </c>
      <c r="F834" s="1" t="s">
        <v>24</v>
      </c>
      <c r="G834" s="1" t="s">
        <v>32</v>
      </c>
      <c r="H834">
        <v>399</v>
      </c>
      <c r="I834">
        <v>9</v>
      </c>
      <c r="J834">
        <v>3591</v>
      </c>
    </row>
    <row r="835" spans="1:10" x14ac:dyDescent="0.25">
      <c r="A835">
        <v>834</v>
      </c>
      <c r="B835" s="2">
        <v>43358</v>
      </c>
      <c r="C835">
        <v>6</v>
      </c>
      <c r="D835" s="1" t="s">
        <v>36</v>
      </c>
      <c r="E835" s="1" t="s">
        <v>35</v>
      </c>
      <c r="F835" s="1" t="s">
        <v>20</v>
      </c>
      <c r="G835" s="1" t="s">
        <v>26</v>
      </c>
      <c r="H835">
        <v>69</v>
      </c>
      <c r="I835">
        <v>6</v>
      </c>
      <c r="J835">
        <v>414</v>
      </c>
    </row>
    <row r="836" spans="1:10" x14ac:dyDescent="0.25">
      <c r="A836">
        <v>835</v>
      </c>
      <c r="B836" s="2">
        <v>43358</v>
      </c>
      <c r="C836">
        <v>19</v>
      </c>
      <c r="D836" s="1" t="s">
        <v>38</v>
      </c>
      <c r="E836" s="1" t="s">
        <v>29</v>
      </c>
      <c r="F836" s="1" t="s">
        <v>24</v>
      </c>
      <c r="G836" s="1" t="s">
        <v>32</v>
      </c>
      <c r="H836">
        <v>399</v>
      </c>
      <c r="I836">
        <v>2</v>
      </c>
      <c r="J836">
        <v>798</v>
      </c>
    </row>
    <row r="837" spans="1:10" x14ac:dyDescent="0.25">
      <c r="A837">
        <v>836</v>
      </c>
      <c r="B837" s="2">
        <v>43359</v>
      </c>
      <c r="C837">
        <v>5</v>
      </c>
      <c r="D837" s="1" t="s">
        <v>40</v>
      </c>
      <c r="E837" s="1" t="s">
        <v>15</v>
      </c>
      <c r="F837" s="1" t="s">
        <v>16</v>
      </c>
      <c r="G837" s="1" t="s">
        <v>26</v>
      </c>
      <c r="H837">
        <v>69</v>
      </c>
      <c r="I837">
        <v>6</v>
      </c>
      <c r="J837">
        <v>414</v>
      </c>
    </row>
    <row r="838" spans="1:10" x14ac:dyDescent="0.25">
      <c r="A838">
        <v>837</v>
      </c>
      <c r="B838" s="2">
        <v>43360</v>
      </c>
      <c r="C838">
        <v>3</v>
      </c>
      <c r="D838" s="1" t="s">
        <v>33</v>
      </c>
      <c r="E838" s="1" t="s">
        <v>43</v>
      </c>
      <c r="F838" s="1" t="s">
        <v>16</v>
      </c>
      <c r="G838" s="1" t="s">
        <v>13</v>
      </c>
      <c r="H838">
        <v>199</v>
      </c>
      <c r="I838">
        <v>6</v>
      </c>
      <c r="J838">
        <v>1194</v>
      </c>
    </row>
    <row r="839" spans="1:10" x14ac:dyDescent="0.25">
      <c r="A839">
        <v>838</v>
      </c>
      <c r="B839" s="2">
        <v>43361</v>
      </c>
      <c r="C839">
        <v>7</v>
      </c>
      <c r="D839" s="1" t="s">
        <v>44</v>
      </c>
      <c r="E839" s="1" t="s">
        <v>35</v>
      </c>
      <c r="F839" s="1" t="s">
        <v>20</v>
      </c>
      <c r="G839" s="1" t="s">
        <v>32</v>
      </c>
      <c r="H839">
        <v>399</v>
      </c>
      <c r="I839">
        <v>3</v>
      </c>
      <c r="J839">
        <v>1197</v>
      </c>
    </row>
    <row r="840" spans="1:10" x14ac:dyDescent="0.25">
      <c r="A840">
        <v>839</v>
      </c>
      <c r="B840" s="2">
        <v>43362</v>
      </c>
      <c r="C840">
        <v>20</v>
      </c>
      <c r="D840" s="1" t="s">
        <v>31</v>
      </c>
      <c r="E840" s="1" t="s">
        <v>29</v>
      </c>
      <c r="F840" s="1" t="s">
        <v>24</v>
      </c>
      <c r="G840" s="1" t="s">
        <v>17</v>
      </c>
      <c r="H840">
        <v>289</v>
      </c>
      <c r="I840">
        <v>4</v>
      </c>
      <c r="J840">
        <v>1156</v>
      </c>
    </row>
    <row r="841" spans="1:10" x14ac:dyDescent="0.25">
      <c r="A841">
        <v>840</v>
      </c>
      <c r="B841" s="2">
        <v>43363</v>
      </c>
      <c r="C841">
        <v>6</v>
      </c>
      <c r="D841" s="1" t="s">
        <v>36</v>
      </c>
      <c r="E841" s="1" t="s">
        <v>35</v>
      </c>
      <c r="F841" s="1" t="s">
        <v>20</v>
      </c>
      <c r="G841" s="1" t="s">
        <v>21</v>
      </c>
      <c r="H841">
        <v>159</v>
      </c>
      <c r="I841">
        <v>8</v>
      </c>
      <c r="J841">
        <v>1272</v>
      </c>
    </row>
    <row r="842" spans="1:10" x14ac:dyDescent="0.25">
      <c r="A842">
        <v>841</v>
      </c>
      <c r="B842" s="2">
        <v>43363</v>
      </c>
      <c r="C842">
        <v>7</v>
      </c>
      <c r="D842" s="1" t="s">
        <v>44</v>
      </c>
      <c r="E842" s="1" t="s">
        <v>19</v>
      </c>
      <c r="F842" s="1" t="s">
        <v>20</v>
      </c>
      <c r="G842" s="1" t="s">
        <v>17</v>
      </c>
      <c r="H842">
        <v>289</v>
      </c>
      <c r="I842">
        <v>2</v>
      </c>
      <c r="J842">
        <v>578</v>
      </c>
    </row>
    <row r="843" spans="1:10" x14ac:dyDescent="0.25">
      <c r="A843">
        <v>842</v>
      </c>
      <c r="B843" s="2">
        <v>43363</v>
      </c>
      <c r="C843">
        <v>12</v>
      </c>
      <c r="D843" s="1" t="s">
        <v>42</v>
      </c>
      <c r="E843" s="1" t="s">
        <v>41</v>
      </c>
      <c r="F843" s="1" t="s">
        <v>12</v>
      </c>
      <c r="G843" s="1" t="s">
        <v>13</v>
      </c>
      <c r="H843">
        <v>199</v>
      </c>
      <c r="I843">
        <v>4</v>
      </c>
      <c r="J843">
        <v>796</v>
      </c>
    </row>
    <row r="844" spans="1:10" x14ac:dyDescent="0.25">
      <c r="A844">
        <v>843</v>
      </c>
      <c r="B844" s="2">
        <v>43363</v>
      </c>
      <c r="C844">
        <v>4</v>
      </c>
      <c r="D844" s="1" t="s">
        <v>37</v>
      </c>
      <c r="E844" s="1" t="s">
        <v>15</v>
      </c>
      <c r="F844" s="1" t="s">
        <v>16</v>
      </c>
      <c r="G844" s="1" t="s">
        <v>13</v>
      </c>
      <c r="H844">
        <v>199</v>
      </c>
      <c r="I844">
        <v>7</v>
      </c>
      <c r="J844">
        <v>1393</v>
      </c>
    </row>
    <row r="845" spans="1:10" x14ac:dyDescent="0.25">
      <c r="A845">
        <v>844</v>
      </c>
      <c r="B845" s="2">
        <v>43364</v>
      </c>
      <c r="C845">
        <v>11</v>
      </c>
      <c r="D845" s="1" t="s">
        <v>10</v>
      </c>
      <c r="E845" s="1" t="s">
        <v>11</v>
      </c>
      <c r="F845" s="1" t="s">
        <v>12</v>
      </c>
      <c r="G845" s="1" t="s">
        <v>17</v>
      </c>
      <c r="H845">
        <v>289</v>
      </c>
      <c r="I845">
        <v>6</v>
      </c>
      <c r="J845">
        <v>1734</v>
      </c>
    </row>
    <row r="846" spans="1:10" x14ac:dyDescent="0.25">
      <c r="A846">
        <v>845</v>
      </c>
      <c r="B846" s="2">
        <v>43364</v>
      </c>
      <c r="C846">
        <v>8</v>
      </c>
      <c r="D846" s="1" t="s">
        <v>34</v>
      </c>
      <c r="E846" s="1" t="s">
        <v>35</v>
      </c>
      <c r="F846" s="1" t="s">
        <v>20</v>
      </c>
      <c r="G846" s="1" t="s">
        <v>21</v>
      </c>
      <c r="H846">
        <v>159</v>
      </c>
      <c r="I846">
        <v>7</v>
      </c>
      <c r="J846">
        <v>1113</v>
      </c>
    </row>
    <row r="847" spans="1:10" x14ac:dyDescent="0.25">
      <c r="A847">
        <v>846</v>
      </c>
      <c r="B847" s="2">
        <v>43365</v>
      </c>
      <c r="C847">
        <v>8</v>
      </c>
      <c r="D847" s="1" t="s">
        <v>34</v>
      </c>
      <c r="E847" s="1" t="s">
        <v>35</v>
      </c>
      <c r="F847" s="1" t="s">
        <v>20</v>
      </c>
      <c r="G847" s="1" t="s">
        <v>13</v>
      </c>
      <c r="H847">
        <v>199</v>
      </c>
      <c r="I847">
        <v>8</v>
      </c>
      <c r="J847">
        <v>1592</v>
      </c>
    </row>
    <row r="848" spans="1:10" x14ac:dyDescent="0.25">
      <c r="A848">
        <v>847</v>
      </c>
      <c r="B848" s="2">
        <v>43365</v>
      </c>
      <c r="C848">
        <v>5</v>
      </c>
      <c r="D848" s="1" t="s">
        <v>40</v>
      </c>
      <c r="E848" s="1" t="s">
        <v>15</v>
      </c>
      <c r="F848" s="1" t="s">
        <v>16</v>
      </c>
      <c r="G848" s="1" t="s">
        <v>21</v>
      </c>
      <c r="H848">
        <v>159</v>
      </c>
      <c r="I848">
        <v>0</v>
      </c>
      <c r="J848">
        <v>0</v>
      </c>
    </row>
    <row r="849" spans="1:10" x14ac:dyDescent="0.25">
      <c r="A849">
        <v>848</v>
      </c>
      <c r="B849" s="2">
        <v>43365</v>
      </c>
      <c r="C849">
        <v>15</v>
      </c>
      <c r="D849" s="1" t="s">
        <v>46</v>
      </c>
      <c r="E849" s="1" t="s">
        <v>11</v>
      </c>
      <c r="F849" s="1" t="s">
        <v>12</v>
      </c>
      <c r="G849" s="1" t="s">
        <v>17</v>
      </c>
      <c r="H849">
        <v>289</v>
      </c>
      <c r="I849">
        <v>3</v>
      </c>
      <c r="J849">
        <v>867</v>
      </c>
    </row>
    <row r="850" spans="1:10" x14ac:dyDescent="0.25">
      <c r="A850">
        <v>849</v>
      </c>
      <c r="B850" s="2">
        <v>43365</v>
      </c>
      <c r="C850">
        <v>4</v>
      </c>
      <c r="D850" s="1" t="s">
        <v>37</v>
      </c>
      <c r="E850" s="1" t="s">
        <v>15</v>
      </c>
      <c r="F850" s="1" t="s">
        <v>16</v>
      </c>
      <c r="G850" s="1" t="s">
        <v>13</v>
      </c>
      <c r="H850">
        <v>199</v>
      </c>
      <c r="I850">
        <v>8</v>
      </c>
      <c r="J850">
        <v>1592</v>
      </c>
    </row>
    <row r="851" spans="1:10" x14ac:dyDescent="0.25">
      <c r="A851">
        <v>850</v>
      </c>
      <c r="B851" s="2">
        <v>43365</v>
      </c>
      <c r="C851">
        <v>10</v>
      </c>
      <c r="D851" s="1" t="s">
        <v>39</v>
      </c>
      <c r="E851" s="1" t="s">
        <v>35</v>
      </c>
      <c r="F851" s="1" t="s">
        <v>20</v>
      </c>
      <c r="G851" s="1" t="s">
        <v>17</v>
      </c>
      <c r="H851">
        <v>289</v>
      </c>
      <c r="I851">
        <v>0</v>
      </c>
      <c r="J851">
        <v>0</v>
      </c>
    </row>
    <row r="852" spans="1:10" x14ac:dyDescent="0.25">
      <c r="A852">
        <v>851</v>
      </c>
      <c r="B852" s="2">
        <v>43365</v>
      </c>
      <c r="C852">
        <v>17</v>
      </c>
      <c r="D852" s="1" t="s">
        <v>28</v>
      </c>
      <c r="E852" s="1" t="s">
        <v>23</v>
      </c>
      <c r="F852" s="1" t="s">
        <v>24</v>
      </c>
      <c r="G852" s="1" t="s">
        <v>17</v>
      </c>
      <c r="H852">
        <v>289</v>
      </c>
      <c r="I852">
        <v>0</v>
      </c>
      <c r="J852">
        <v>0</v>
      </c>
    </row>
    <row r="853" spans="1:10" x14ac:dyDescent="0.25">
      <c r="A853">
        <v>852</v>
      </c>
      <c r="B853" s="2">
        <v>43365</v>
      </c>
      <c r="C853">
        <v>6</v>
      </c>
      <c r="D853" s="1" t="s">
        <v>36</v>
      </c>
      <c r="E853" s="1" t="s">
        <v>35</v>
      </c>
      <c r="F853" s="1" t="s">
        <v>20</v>
      </c>
      <c r="G853" s="1" t="s">
        <v>32</v>
      </c>
      <c r="H853">
        <v>399</v>
      </c>
      <c r="I853">
        <v>9</v>
      </c>
      <c r="J853">
        <v>3591</v>
      </c>
    </row>
    <row r="854" spans="1:10" x14ac:dyDescent="0.25">
      <c r="A854">
        <v>853</v>
      </c>
      <c r="B854" s="2">
        <v>43365</v>
      </c>
      <c r="C854">
        <v>14</v>
      </c>
      <c r="D854" s="1" t="s">
        <v>30</v>
      </c>
      <c r="E854" s="1" t="s">
        <v>41</v>
      </c>
      <c r="F854" s="1" t="s">
        <v>12</v>
      </c>
      <c r="G854" s="1" t="s">
        <v>32</v>
      </c>
      <c r="H854">
        <v>399</v>
      </c>
      <c r="I854">
        <v>4</v>
      </c>
      <c r="J854">
        <v>1596</v>
      </c>
    </row>
    <row r="855" spans="1:10" x14ac:dyDescent="0.25">
      <c r="A855">
        <v>854</v>
      </c>
      <c r="B855" s="2">
        <v>43365</v>
      </c>
      <c r="C855">
        <v>7</v>
      </c>
      <c r="D855" s="1" t="s">
        <v>44</v>
      </c>
      <c r="E855" s="1" t="s">
        <v>19</v>
      </c>
      <c r="F855" s="1" t="s">
        <v>20</v>
      </c>
      <c r="G855" s="1" t="s">
        <v>13</v>
      </c>
      <c r="H855">
        <v>199</v>
      </c>
      <c r="I855">
        <v>5</v>
      </c>
      <c r="J855">
        <v>995</v>
      </c>
    </row>
    <row r="856" spans="1:10" x14ac:dyDescent="0.25">
      <c r="A856">
        <v>855</v>
      </c>
      <c r="B856" s="2">
        <v>43365</v>
      </c>
      <c r="C856">
        <v>9</v>
      </c>
      <c r="D856" s="1" t="s">
        <v>18</v>
      </c>
      <c r="E856" s="1" t="s">
        <v>19</v>
      </c>
      <c r="F856" s="1" t="s">
        <v>20</v>
      </c>
      <c r="G856" s="1" t="s">
        <v>17</v>
      </c>
      <c r="H856">
        <v>289</v>
      </c>
      <c r="I856">
        <v>7</v>
      </c>
      <c r="J856">
        <v>2023</v>
      </c>
    </row>
    <row r="857" spans="1:10" x14ac:dyDescent="0.25">
      <c r="A857">
        <v>856</v>
      </c>
      <c r="B857" s="2">
        <v>43365</v>
      </c>
      <c r="C857">
        <v>19</v>
      </c>
      <c r="D857" s="1" t="s">
        <v>38</v>
      </c>
      <c r="E857" s="1" t="s">
        <v>29</v>
      </c>
      <c r="F857" s="1" t="s">
        <v>24</v>
      </c>
      <c r="G857" s="1" t="s">
        <v>21</v>
      </c>
      <c r="H857">
        <v>159</v>
      </c>
      <c r="I857">
        <v>3</v>
      </c>
      <c r="J857">
        <v>477</v>
      </c>
    </row>
    <row r="858" spans="1:10" x14ac:dyDescent="0.25">
      <c r="A858">
        <v>857</v>
      </c>
      <c r="B858" s="2">
        <v>43366</v>
      </c>
      <c r="C858">
        <v>19</v>
      </c>
      <c r="D858" s="1" t="s">
        <v>38</v>
      </c>
      <c r="E858" s="1" t="s">
        <v>23</v>
      </c>
      <c r="F858" s="1" t="s">
        <v>24</v>
      </c>
      <c r="G858" s="1" t="s">
        <v>17</v>
      </c>
      <c r="H858">
        <v>289</v>
      </c>
      <c r="I858">
        <v>8</v>
      </c>
      <c r="J858">
        <v>2312</v>
      </c>
    </row>
    <row r="859" spans="1:10" x14ac:dyDescent="0.25">
      <c r="A859">
        <v>858</v>
      </c>
      <c r="B859" s="2">
        <v>43367</v>
      </c>
      <c r="C859">
        <v>17</v>
      </c>
      <c r="D859" s="1" t="s">
        <v>28</v>
      </c>
      <c r="E859" s="1" t="s">
        <v>23</v>
      </c>
      <c r="F859" s="1" t="s">
        <v>24</v>
      </c>
      <c r="G859" s="1" t="s">
        <v>26</v>
      </c>
      <c r="H859">
        <v>69</v>
      </c>
      <c r="I859">
        <v>5</v>
      </c>
      <c r="J859">
        <v>345</v>
      </c>
    </row>
    <row r="860" spans="1:10" x14ac:dyDescent="0.25">
      <c r="A860">
        <v>859</v>
      </c>
      <c r="B860" s="2">
        <v>43367</v>
      </c>
      <c r="C860">
        <v>19</v>
      </c>
      <c r="D860" s="1" t="s">
        <v>38</v>
      </c>
      <c r="E860" s="1" t="s">
        <v>29</v>
      </c>
      <c r="F860" s="1" t="s">
        <v>24</v>
      </c>
      <c r="G860" s="1" t="s">
        <v>17</v>
      </c>
      <c r="H860">
        <v>289</v>
      </c>
      <c r="I860">
        <v>4</v>
      </c>
      <c r="J860">
        <v>1156</v>
      </c>
    </row>
    <row r="861" spans="1:10" x14ac:dyDescent="0.25">
      <c r="A861">
        <v>860</v>
      </c>
      <c r="B861" s="2">
        <v>43367</v>
      </c>
      <c r="C861">
        <v>6</v>
      </c>
      <c r="D861" s="1" t="s">
        <v>36</v>
      </c>
      <c r="E861" s="1" t="s">
        <v>35</v>
      </c>
      <c r="F861" s="1" t="s">
        <v>20</v>
      </c>
      <c r="G861" s="1" t="s">
        <v>13</v>
      </c>
      <c r="H861">
        <v>199</v>
      </c>
      <c r="I861">
        <v>8</v>
      </c>
      <c r="J861">
        <v>1592</v>
      </c>
    </row>
    <row r="862" spans="1:10" x14ac:dyDescent="0.25">
      <c r="A862">
        <v>861</v>
      </c>
      <c r="B862" s="2">
        <v>43367</v>
      </c>
      <c r="C862">
        <v>14</v>
      </c>
      <c r="D862" s="1" t="s">
        <v>30</v>
      </c>
      <c r="E862" s="1" t="s">
        <v>11</v>
      </c>
      <c r="F862" s="1" t="s">
        <v>12</v>
      </c>
      <c r="G862" s="1" t="s">
        <v>32</v>
      </c>
      <c r="H862">
        <v>399</v>
      </c>
      <c r="I862">
        <v>2</v>
      </c>
      <c r="J862">
        <v>798</v>
      </c>
    </row>
    <row r="863" spans="1:10" x14ac:dyDescent="0.25">
      <c r="A863">
        <v>862</v>
      </c>
      <c r="B863" s="2">
        <v>43368</v>
      </c>
      <c r="C863">
        <v>17</v>
      </c>
      <c r="D863" s="1" t="s">
        <v>28</v>
      </c>
      <c r="E863" s="1" t="s">
        <v>23</v>
      </c>
      <c r="F863" s="1" t="s">
        <v>24</v>
      </c>
      <c r="G863" s="1" t="s">
        <v>26</v>
      </c>
      <c r="H863">
        <v>69</v>
      </c>
      <c r="I863">
        <v>8</v>
      </c>
      <c r="J863">
        <v>552</v>
      </c>
    </row>
    <row r="864" spans="1:10" x14ac:dyDescent="0.25">
      <c r="A864">
        <v>863</v>
      </c>
      <c r="B864" s="2">
        <v>43368</v>
      </c>
      <c r="C864">
        <v>16</v>
      </c>
      <c r="D864" s="1" t="s">
        <v>25</v>
      </c>
      <c r="E864" s="1" t="s">
        <v>23</v>
      </c>
      <c r="F864" s="1" t="s">
        <v>24</v>
      </c>
      <c r="G864" s="1" t="s">
        <v>13</v>
      </c>
      <c r="H864">
        <v>199</v>
      </c>
      <c r="I864">
        <v>0</v>
      </c>
      <c r="J864">
        <v>0</v>
      </c>
    </row>
    <row r="865" spans="1:10" x14ac:dyDescent="0.25">
      <c r="A865">
        <v>864</v>
      </c>
      <c r="B865" s="2">
        <v>43368</v>
      </c>
      <c r="C865">
        <v>3</v>
      </c>
      <c r="D865" s="1" t="s">
        <v>33</v>
      </c>
      <c r="E865" s="1" t="s">
        <v>43</v>
      </c>
      <c r="F865" s="1" t="s">
        <v>16</v>
      </c>
      <c r="G865" s="1" t="s">
        <v>17</v>
      </c>
      <c r="H865">
        <v>289</v>
      </c>
      <c r="I865">
        <v>4</v>
      </c>
      <c r="J865">
        <v>1156</v>
      </c>
    </row>
    <row r="866" spans="1:10" x14ac:dyDescent="0.25">
      <c r="A866">
        <v>865</v>
      </c>
      <c r="B866" s="2">
        <v>43369</v>
      </c>
      <c r="C866">
        <v>16</v>
      </c>
      <c r="D866" s="1" t="s">
        <v>25</v>
      </c>
      <c r="E866" s="1" t="s">
        <v>23</v>
      </c>
      <c r="F866" s="1" t="s">
        <v>24</v>
      </c>
      <c r="G866" s="1" t="s">
        <v>26</v>
      </c>
      <c r="H866">
        <v>69</v>
      </c>
      <c r="I866">
        <v>6</v>
      </c>
      <c r="J866">
        <v>414</v>
      </c>
    </row>
    <row r="867" spans="1:10" x14ac:dyDescent="0.25">
      <c r="A867">
        <v>866</v>
      </c>
      <c r="B867" s="2">
        <v>43369</v>
      </c>
      <c r="C867">
        <v>19</v>
      </c>
      <c r="D867" s="1" t="s">
        <v>38</v>
      </c>
      <c r="E867" s="1" t="s">
        <v>29</v>
      </c>
      <c r="F867" s="1" t="s">
        <v>24</v>
      </c>
      <c r="G867" s="1" t="s">
        <v>26</v>
      </c>
      <c r="H867">
        <v>69</v>
      </c>
      <c r="I867">
        <v>2</v>
      </c>
      <c r="J867">
        <v>138</v>
      </c>
    </row>
    <row r="868" spans="1:10" x14ac:dyDescent="0.25">
      <c r="A868">
        <v>867</v>
      </c>
      <c r="B868" s="2">
        <v>43370</v>
      </c>
      <c r="C868">
        <v>7</v>
      </c>
      <c r="D868" s="1" t="s">
        <v>44</v>
      </c>
      <c r="E868" s="1" t="s">
        <v>35</v>
      </c>
      <c r="F868" s="1" t="s">
        <v>20</v>
      </c>
      <c r="G868" s="1" t="s">
        <v>13</v>
      </c>
      <c r="H868">
        <v>199</v>
      </c>
      <c r="I868">
        <v>6</v>
      </c>
      <c r="J868">
        <v>1194</v>
      </c>
    </row>
    <row r="869" spans="1:10" x14ac:dyDescent="0.25">
      <c r="A869">
        <v>868</v>
      </c>
      <c r="B869" s="2">
        <v>43370</v>
      </c>
      <c r="C869">
        <v>9</v>
      </c>
      <c r="D869" s="1" t="s">
        <v>18</v>
      </c>
      <c r="E869" s="1" t="s">
        <v>35</v>
      </c>
      <c r="F869" s="1" t="s">
        <v>20</v>
      </c>
      <c r="G869" s="1" t="s">
        <v>26</v>
      </c>
      <c r="H869">
        <v>69</v>
      </c>
      <c r="I869">
        <v>7</v>
      </c>
      <c r="J869">
        <v>483</v>
      </c>
    </row>
    <row r="870" spans="1:10" x14ac:dyDescent="0.25">
      <c r="A870">
        <v>869</v>
      </c>
      <c r="B870" s="2">
        <v>43371</v>
      </c>
      <c r="C870">
        <v>14</v>
      </c>
      <c r="D870" s="1" t="s">
        <v>30</v>
      </c>
      <c r="E870" s="1" t="s">
        <v>41</v>
      </c>
      <c r="F870" s="1" t="s">
        <v>12</v>
      </c>
      <c r="G870" s="1" t="s">
        <v>32</v>
      </c>
      <c r="H870">
        <v>399</v>
      </c>
      <c r="I870">
        <v>3</v>
      </c>
      <c r="J870">
        <v>1197</v>
      </c>
    </row>
    <row r="871" spans="1:10" x14ac:dyDescent="0.25">
      <c r="A871">
        <v>870</v>
      </c>
      <c r="B871" s="2">
        <v>43371</v>
      </c>
      <c r="C871">
        <v>3</v>
      </c>
      <c r="D871" s="1" t="s">
        <v>33</v>
      </c>
      <c r="E871" s="1" t="s">
        <v>43</v>
      </c>
      <c r="F871" s="1" t="s">
        <v>16</v>
      </c>
      <c r="G871" s="1" t="s">
        <v>21</v>
      </c>
      <c r="H871">
        <v>159</v>
      </c>
      <c r="I871">
        <v>5</v>
      </c>
      <c r="J871">
        <v>795</v>
      </c>
    </row>
    <row r="872" spans="1:10" x14ac:dyDescent="0.25">
      <c r="A872">
        <v>871</v>
      </c>
      <c r="B872" s="2">
        <v>43371</v>
      </c>
      <c r="C872">
        <v>9</v>
      </c>
      <c r="D872" s="1" t="s">
        <v>18</v>
      </c>
      <c r="E872" s="1" t="s">
        <v>35</v>
      </c>
      <c r="F872" s="1" t="s">
        <v>20</v>
      </c>
      <c r="G872" s="1" t="s">
        <v>26</v>
      </c>
      <c r="H872">
        <v>69</v>
      </c>
      <c r="I872">
        <v>6</v>
      </c>
      <c r="J872">
        <v>414</v>
      </c>
    </row>
    <row r="873" spans="1:10" x14ac:dyDescent="0.25">
      <c r="A873">
        <v>872</v>
      </c>
      <c r="B873" s="2">
        <v>43371</v>
      </c>
      <c r="C873">
        <v>1</v>
      </c>
      <c r="D873" s="1" t="s">
        <v>14</v>
      </c>
      <c r="E873" s="1" t="s">
        <v>15</v>
      </c>
      <c r="F873" s="1" t="s">
        <v>16</v>
      </c>
      <c r="G873" s="1" t="s">
        <v>21</v>
      </c>
      <c r="H873">
        <v>159</v>
      </c>
      <c r="I873">
        <v>5</v>
      </c>
      <c r="J873">
        <v>795</v>
      </c>
    </row>
    <row r="874" spans="1:10" x14ac:dyDescent="0.25">
      <c r="A874">
        <v>873</v>
      </c>
      <c r="B874" s="2">
        <v>43372</v>
      </c>
      <c r="C874">
        <v>20</v>
      </c>
      <c r="D874" s="1" t="s">
        <v>31</v>
      </c>
      <c r="E874" s="1" t="s">
        <v>23</v>
      </c>
      <c r="F874" s="1" t="s">
        <v>24</v>
      </c>
      <c r="G874" s="1" t="s">
        <v>13</v>
      </c>
      <c r="H874">
        <v>199</v>
      </c>
      <c r="I874">
        <v>3</v>
      </c>
      <c r="J874">
        <v>597</v>
      </c>
    </row>
    <row r="875" spans="1:10" x14ac:dyDescent="0.25">
      <c r="A875">
        <v>874</v>
      </c>
      <c r="B875" s="2">
        <v>43372</v>
      </c>
      <c r="C875">
        <v>3</v>
      </c>
      <c r="D875" s="1" t="s">
        <v>33</v>
      </c>
      <c r="E875" s="1" t="s">
        <v>43</v>
      </c>
      <c r="F875" s="1" t="s">
        <v>16</v>
      </c>
      <c r="G875" s="1" t="s">
        <v>17</v>
      </c>
      <c r="H875">
        <v>289</v>
      </c>
      <c r="I875">
        <v>8</v>
      </c>
      <c r="J875">
        <v>2312</v>
      </c>
    </row>
    <row r="876" spans="1:10" x14ac:dyDescent="0.25">
      <c r="A876">
        <v>875</v>
      </c>
      <c r="B876" s="2">
        <v>43372</v>
      </c>
      <c r="C876">
        <v>4</v>
      </c>
      <c r="D876" s="1" t="s">
        <v>37</v>
      </c>
      <c r="E876" s="1" t="s">
        <v>43</v>
      </c>
      <c r="F876" s="1" t="s">
        <v>16</v>
      </c>
      <c r="G876" s="1" t="s">
        <v>26</v>
      </c>
      <c r="H876">
        <v>69</v>
      </c>
      <c r="I876">
        <v>6</v>
      </c>
      <c r="J876">
        <v>414</v>
      </c>
    </row>
    <row r="877" spans="1:10" x14ac:dyDescent="0.25">
      <c r="A877">
        <v>876</v>
      </c>
      <c r="B877" s="2">
        <v>43372</v>
      </c>
      <c r="C877">
        <v>7</v>
      </c>
      <c r="D877" s="1" t="s">
        <v>44</v>
      </c>
      <c r="E877" s="1" t="s">
        <v>35</v>
      </c>
      <c r="F877" s="1" t="s">
        <v>20</v>
      </c>
      <c r="G877" s="1" t="s">
        <v>17</v>
      </c>
      <c r="H877">
        <v>289</v>
      </c>
      <c r="I877">
        <v>0</v>
      </c>
      <c r="J877">
        <v>0</v>
      </c>
    </row>
    <row r="878" spans="1:10" x14ac:dyDescent="0.25">
      <c r="A878">
        <v>877</v>
      </c>
      <c r="B878" s="2">
        <v>43373</v>
      </c>
      <c r="C878">
        <v>11</v>
      </c>
      <c r="D878" s="1" t="s">
        <v>10</v>
      </c>
      <c r="E878" s="1" t="s">
        <v>11</v>
      </c>
      <c r="F878" s="1" t="s">
        <v>12</v>
      </c>
      <c r="G878" s="1" t="s">
        <v>17</v>
      </c>
      <c r="H878">
        <v>289</v>
      </c>
      <c r="I878">
        <v>1</v>
      </c>
      <c r="J878">
        <v>289</v>
      </c>
    </row>
    <row r="879" spans="1:10" x14ac:dyDescent="0.25">
      <c r="A879">
        <v>878</v>
      </c>
      <c r="B879" s="2">
        <v>43373</v>
      </c>
      <c r="C879">
        <v>15</v>
      </c>
      <c r="D879" s="1" t="s">
        <v>46</v>
      </c>
      <c r="E879" s="1" t="s">
        <v>41</v>
      </c>
      <c r="F879" s="1" t="s">
        <v>12</v>
      </c>
      <c r="G879" s="1" t="s">
        <v>21</v>
      </c>
      <c r="H879">
        <v>159</v>
      </c>
      <c r="I879">
        <v>0</v>
      </c>
      <c r="J879">
        <v>0</v>
      </c>
    </row>
    <row r="880" spans="1:10" x14ac:dyDescent="0.25">
      <c r="A880">
        <v>879</v>
      </c>
      <c r="B880" s="2">
        <v>43373</v>
      </c>
      <c r="C880">
        <v>20</v>
      </c>
      <c r="D880" s="1" t="s">
        <v>31</v>
      </c>
      <c r="E880" s="1" t="s">
        <v>29</v>
      </c>
      <c r="F880" s="1" t="s">
        <v>24</v>
      </c>
      <c r="G880" s="1" t="s">
        <v>13</v>
      </c>
      <c r="H880">
        <v>199</v>
      </c>
      <c r="I880">
        <v>1</v>
      </c>
      <c r="J880">
        <v>199</v>
      </c>
    </row>
    <row r="881" spans="1:10" x14ac:dyDescent="0.25">
      <c r="A881">
        <v>880</v>
      </c>
      <c r="B881" s="2">
        <v>43373</v>
      </c>
      <c r="C881">
        <v>6</v>
      </c>
      <c r="D881" s="1" t="s">
        <v>36</v>
      </c>
      <c r="E881" s="1" t="s">
        <v>19</v>
      </c>
      <c r="F881" s="1" t="s">
        <v>20</v>
      </c>
      <c r="G881" s="1" t="s">
        <v>13</v>
      </c>
      <c r="H881">
        <v>199</v>
      </c>
      <c r="I881">
        <v>7</v>
      </c>
      <c r="J881">
        <v>1393</v>
      </c>
    </row>
    <row r="882" spans="1:10" x14ac:dyDescent="0.25">
      <c r="A882">
        <v>881</v>
      </c>
      <c r="B882" s="2">
        <v>43374</v>
      </c>
      <c r="C882">
        <v>9</v>
      </c>
      <c r="D882" s="1" t="s">
        <v>18</v>
      </c>
      <c r="E882" s="1" t="s">
        <v>19</v>
      </c>
      <c r="F882" s="1" t="s">
        <v>20</v>
      </c>
      <c r="G882" s="1" t="s">
        <v>32</v>
      </c>
      <c r="H882">
        <v>399</v>
      </c>
      <c r="I882">
        <v>7</v>
      </c>
      <c r="J882">
        <v>2793</v>
      </c>
    </row>
    <row r="883" spans="1:10" x14ac:dyDescent="0.25">
      <c r="A883">
        <v>882</v>
      </c>
      <c r="B883" s="2">
        <v>43374</v>
      </c>
      <c r="C883">
        <v>7</v>
      </c>
      <c r="D883" s="1" t="s">
        <v>44</v>
      </c>
      <c r="E883" s="1" t="s">
        <v>35</v>
      </c>
      <c r="F883" s="1" t="s">
        <v>20</v>
      </c>
      <c r="G883" s="1" t="s">
        <v>21</v>
      </c>
      <c r="H883">
        <v>159</v>
      </c>
      <c r="I883">
        <v>2</v>
      </c>
      <c r="J883">
        <v>318</v>
      </c>
    </row>
    <row r="884" spans="1:10" x14ac:dyDescent="0.25">
      <c r="A884">
        <v>883</v>
      </c>
      <c r="B884" s="2">
        <v>43375</v>
      </c>
      <c r="C884">
        <v>3</v>
      </c>
      <c r="D884" s="1" t="s">
        <v>33</v>
      </c>
      <c r="E884" s="1" t="s">
        <v>43</v>
      </c>
      <c r="F884" s="1" t="s">
        <v>16</v>
      </c>
      <c r="G884" s="1" t="s">
        <v>13</v>
      </c>
      <c r="H884">
        <v>199</v>
      </c>
      <c r="I884">
        <v>5</v>
      </c>
      <c r="J884">
        <v>995</v>
      </c>
    </row>
    <row r="885" spans="1:10" x14ac:dyDescent="0.25">
      <c r="A885">
        <v>884</v>
      </c>
      <c r="B885" s="2">
        <v>43375</v>
      </c>
      <c r="C885">
        <v>14</v>
      </c>
      <c r="D885" s="1" t="s">
        <v>30</v>
      </c>
      <c r="E885" s="1" t="s">
        <v>41</v>
      </c>
      <c r="F885" s="1" t="s">
        <v>12</v>
      </c>
      <c r="G885" s="1" t="s">
        <v>17</v>
      </c>
      <c r="H885">
        <v>289</v>
      </c>
      <c r="I885">
        <v>9</v>
      </c>
      <c r="J885">
        <v>2601</v>
      </c>
    </row>
    <row r="886" spans="1:10" x14ac:dyDescent="0.25">
      <c r="A886">
        <v>885</v>
      </c>
      <c r="B886" s="2">
        <v>43375</v>
      </c>
      <c r="C886">
        <v>15</v>
      </c>
      <c r="D886" s="1" t="s">
        <v>46</v>
      </c>
      <c r="E886" s="1" t="s">
        <v>41</v>
      </c>
      <c r="F886" s="1" t="s">
        <v>12</v>
      </c>
      <c r="G886" s="1" t="s">
        <v>21</v>
      </c>
      <c r="H886">
        <v>159</v>
      </c>
      <c r="I886">
        <v>8</v>
      </c>
      <c r="J886">
        <v>1272</v>
      </c>
    </row>
    <row r="887" spans="1:10" x14ac:dyDescent="0.25">
      <c r="A887">
        <v>886</v>
      </c>
      <c r="B887" s="2">
        <v>43376</v>
      </c>
      <c r="C887">
        <v>20</v>
      </c>
      <c r="D887" s="1" t="s">
        <v>31</v>
      </c>
      <c r="E887" s="1" t="s">
        <v>23</v>
      </c>
      <c r="F887" s="1" t="s">
        <v>24</v>
      </c>
      <c r="G887" s="1" t="s">
        <v>21</v>
      </c>
      <c r="H887">
        <v>159</v>
      </c>
      <c r="I887">
        <v>1</v>
      </c>
      <c r="J887">
        <v>159</v>
      </c>
    </row>
    <row r="888" spans="1:10" x14ac:dyDescent="0.25">
      <c r="A888">
        <v>887</v>
      </c>
      <c r="B888" s="2">
        <v>43377</v>
      </c>
      <c r="C888">
        <v>20</v>
      </c>
      <c r="D888" s="1" t="s">
        <v>31</v>
      </c>
      <c r="E888" s="1" t="s">
        <v>29</v>
      </c>
      <c r="F888" s="1" t="s">
        <v>24</v>
      </c>
      <c r="G888" s="1" t="s">
        <v>17</v>
      </c>
      <c r="H888">
        <v>289</v>
      </c>
      <c r="I888">
        <v>1</v>
      </c>
      <c r="J888">
        <v>289</v>
      </c>
    </row>
    <row r="889" spans="1:10" x14ac:dyDescent="0.25">
      <c r="A889">
        <v>888</v>
      </c>
      <c r="B889" s="2">
        <v>43377</v>
      </c>
      <c r="C889">
        <v>15</v>
      </c>
      <c r="D889" s="1" t="s">
        <v>46</v>
      </c>
      <c r="E889" s="1" t="s">
        <v>11</v>
      </c>
      <c r="F889" s="1" t="s">
        <v>12</v>
      </c>
      <c r="G889" s="1" t="s">
        <v>13</v>
      </c>
      <c r="H889">
        <v>199</v>
      </c>
      <c r="I889">
        <v>3</v>
      </c>
      <c r="J889">
        <v>597</v>
      </c>
    </row>
    <row r="890" spans="1:10" x14ac:dyDescent="0.25">
      <c r="A890">
        <v>889</v>
      </c>
      <c r="B890" s="2">
        <v>43378</v>
      </c>
      <c r="C890">
        <v>20</v>
      </c>
      <c r="D890" s="1" t="s">
        <v>31</v>
      </c>
      <c r="E890" s="1" t="s">
        <v>23</v>
      </c>
      <c r="F890" s="1" t="s">
        <v>24</v>
      </c>
      <c r="G890" s="1" t="s">
        <v>13</v>
      </c>
      <c r="H890">
        <v>199</v>
      </c>
      <c r="I890">
        <v>3</v>
      </c>
      <c r="J890">
        <v>597</v>
      </c>
    </row>
    <row r="891" spans="1:10" x14ac:dyDescent="0.25">
      <c r="A891">
        <v>890</v>
      </c>
      <c r="B891" s="2">
        <v>43378</v>
      </c>
      <c r="C891">
        <v>9</v>
      </c>
      <c r="D891" s="1" t="s">
        <v>18</v>
      </c>
      <c r="E891" s="1" t="s">
        <v>35</v>
      </c>
      <c r="F891" s="1" t="s">
        <v>20</v>
      </c>
      <c r="G891" s="1" t="s">
        <v>17</v>
      </c>
      <c r="H891">
        <v>289</v>
      </c>
      <c r="I891">
        <v>9</v>
      </c>
      <c r="J891">
        <v>2601</v>
      </c>
    </row>
    <row r="892" spans="1:10" x14ac:dyDescent="0.25">
      <c r="A892">
        <v>891</v>
      </c>
      <c r="B892" s="2">
        <v>43378</v>
      </c>
      <c r="C892">
        <v>4</v>
      </c>
      <c r="D892" s="1" t="s">
        <v>37</v>
      </c>
      <c r="E892" s="1" t="s">
        <v>15</v>
      </c>
      <c r="F892" s="1" t="s">
        <v>16</v>
      </c>
      <c r="G892" s="1" t="s">
        <v>13</v>
      </c>
      <c r="H892">
        <v>199</v>
      </c>
      <c r="I892">
        <v>9</v>
      </c>
      <c r="J892">
        <v>1791</v>
      </c>
    </row>
    <row r="893" spans="1:10" x14ac:dyDescent="0.25">
      <c r="A893">
        <v>892</v>
      </c>
      <c r="B893" s="2">
        <v>43378</v>
      </c>
      <c r="C893">
        <v>16</v>
      </c>
      <c r="D893" s="1" t="s">
        <v>25</v>
      </c>
      <c r="E893" s="1" t="s">
        <v>29</v>
      </c>
      <c r="F893" s="1" t="s">
        <v>24</v>
      </c>
      <c r="G893" s="1" t="s">
        <v>21</v>
      </c>
      <c r="H893">
        <v>159</v>
      </c>
      <c r="I893">
        <v>7</v>
      </c>
      <c r="J893">
        <v>1113</v>
      </c>
    </row>
    <row r="894" spans="1:10" x14ac:dyDescent="0.25">
      <c r="A894">
        <v>893</v>
      </c>
      <c r="B894" s="2">
        <v>43378</v>
      </c>
      <c r="C894">
        <v>5</v>
      </c>
      <c r="D894" s="1" t="s">
        <v>40</v>
      </c>
      <c r="E894" s="1" t="s">
        <v>43</v>
      </c>
      <c r="F894" s="1" t="s">
        <v>16</v>
      </c>
      <c r="G894" s="1" t="s">
        <v>26</v>
      </c>
      <c r="H894">
        <v>69</v>
      </c>
      <c r="I894">
        <v>3</v>
      </c>
      <c r="J894">
        <v>207</v>
      </c>
    </row>
    <row r="895" spans="1:10" x14ac:dyDescent="0.25">
      <c r="A895">
        <v>894</v>
      </c>
      <c r="B895" s="2">
        <v>43379</v>
      </c>
      <c r="C895">
        <v>11</v>
      </c>
      <c r="D895" s="1" t="s">
        <v>10</v>
      </c>
      <c r="E895" s="1" t="s">
        <v>41</v>
      </c>
      <c r="F895" s="1" t="s">
        <v>12</v>
      </c>
      <c r="G895" s="1" t="s">
        <v>21</v>
      </c>
      <c r="H895">
        <v>159</v>
      </c>
      <c r="I895">
        <v>6</v>
      </c>
      <c r="J895">
        <v>954</v>
      </c>
    </row>
    <row r="896" spans="1:10" x14ac:dyDescent="0.25">
      <c r="A896">
        <v>895</v>
      </c>
      <c r="B896" s="2">
        <v>43379</v>
      </c>
      <c r="C896">
        <v>9</v>
      </c>
      <c r="D896" s="1" t="s">
        <v>18</v>
      </c>
      <c r="E896" s="1" t="s">
        <v>19</v>
      </c>
      <c r="F896" s="1" t="s">
        <v>20</v>
      </c>
      <c r="G896" s="1" t="s">
        <v>13</v>
      </c>
      <c r="H896">
        <v>199</v>
      </c>
      <c r="I896">
        <v>2</v>
      </c>
      <c r="J896">
        <v>398</v>
      </c>
    </row>
    <row r="897" spans="1:10" x14ac:dyDescent="0.25">
      <c r="A897">
        <v>896</v>
      </c>
      <c r="B897" s="2">
        <v>43379</v>
      </c>
      <c r="C897">
        <v>6</v>
      </c>
      <c r="D897" s="1" t="s">
        <v>36</v>
      </c>
      <c r="E897" s="1" t="s">
        <v>35</v>
      </c>
      <c r="F897" s="1" t="s">
        <v>20</v>
      </c>
      <c r="G897" s="1" t="s">
        <v>13</v>
      </c>
      <c r="H897">
        <v>199</v>
      </c>
      <c r="I897">
        <v>8</v>
      </c>
      <c r="J897">
        <v>1592</v>
      </c>
    </row>
    <row r="898" spans="1:10" x14ac:dyDescent="0.25">
      <c r="A898">
        <v>897</v>
      </c>
      <c r="B898" s="2">
        <v>43379</v>
      </c>
      <c r="C898">
        <v>4</v>
      </c>
      <c r="D898" s="1" t="s">
        <v>37</v>
      </c>
      <c r="E898" s="1" t="s">
        <v>15</v>
      </c>
      <c r="F898" s="1" t="s">
        <v>16</v>
      </c>
      <c r="G898" s="1" t="s">
        <v>32</v>
      </c>
      <c r="H898">
        <v>399</v>
      </c>
      <c r="I898">
        <v>0</v>
      </c>
      <c r="J898">
        <v>0</v>
      </c>
    </row>
    <row r="899" spans="1:10" x14ac:dyDescent="0.25">
      <c r="A899">
        <v>898</v>
      </c>
      <c r="B899" s="2">
        <v>43379</v>
      </c>
      <c r="C899">
        <v>17</v>
      </c>
      <c r="D899" s="1" t="s">
        <v>28</v>
      </c>
      <c r="E899" s="1" t="s">
        <v>29</v>
      </c>
      <c r="F899" s="1" t="s">
        <v>24</v>
      </c>
      <c r="G899" s="1" t="s">
        <v>13</v>
      </c>
      <c r="H899">
        <v>199</v>
      </c>
      <c r="I899">
        <v>2</v>
      </c>
      <c r="J899">
        <v>398</v>
      </c>
    </row>
    <row r="900" spans="1:10" x14ac:dyDescent="0.25">
      <c r="A900">
        <v>899</v>
      </c>
      <c r="B900" s="2">
        <v>43380</v>
      </c>
      <c r="C900">
        <v>1</v>
      </c>
      <c r="D900" s="1" t="s">
        <v>14</v>
      </c>
      <c r="E900" s="1" t="s">
        <v>43</v>
      </c>
      <c r="F900" s="1" t="s">
        <v>16</v>
      </c>
      <c r="G900" s="1" t="s">
        <v>13</v>
      </c>
      <c r="H900">
        <v>199</v>
      </c>
      <c r="I900">
        <v>4</v>
      </c>
      <c r="J900">
        <v>796</v>
      </c>
    </row>
    <row r="901" spans="1:10" x14ac:dyDescent="0.25">
      <c r="A901">
        <v>900</v>
      </c>
      <c r="B901" s="2">
        <v>43380</v>
      </c>
      <c r="C901">
        <v>4</v>
      </c>
      <c r="D901" s="1" t="s">
        <v>37</v>
      </c>
      <c r="E901" s="1" t="s">
        <v>15</v>
      </c>
      <c r="F901" s="1" t="s">
        <v>16</v>
      </c>
      <c r="G901" s="1" t="s">
        <v>21</v>
      </c>
      <c r="H901">
        <v>159</v>
      </c>
      <c r="I901">
        <v>5</v>
      </c>
      <c r="J901">
        <v>795</v>
      </c>
    </row>
    <row r="902" spans="1:10" x14ac:dyDescent="0.25">
      <c r="A902">
        <v>901</v>
      </c>
      <c r="B902" s="2">
        <v>43381</v>
      </c>
      <c r="C902">
        <v>15</v>
      </c>
      <c r="D902" s="1" t="s">
        <v>46</v>
      </c>
      <c r="E902" s="1" t="s">
        <v>11</v>
      </c>
      <c r="F902" s="1" t="s">
        <v>12</v>
      </c>
      <c r="G902" s="1" t="s">
        <v>32</v>
      </c>
      <c r="H902">
        <v>399</v>
      </c>
      <c r="I902">
        <v>7</v>
      </c>
      <c r="J902">
        <v>2793</v>
      </c>
    </row>
    <row r="903" spans="1:10" x14ac:dyDescent="0.25">
      <c r="A903">
        <v>902</v>
      </c>
      <c r="B903" s="2">
        <v>43382</v>
      </c>
      <c r="C903">
        <v>13</v>
      </c>
      <c r="D903" s="1" t="s">
        <v>27</v>
      </c>
      <c r="E903" s="1" t="s">
        <v>11</v>
      </c>
      <c r="F903" s="1" t="s">
        <v>12</v>
      </c>
      <c r="G903" s="1" t="s">
        <v>32</v>
      </c>
      <c r="H903">
        <v>399</v>
      </c>
      <c r="I903">
        <v>4</v>
      </c>
      <c r="J903">
        <v>1596</v>
      </c>
    </row>
    <row r="904" spans="1:10" x14ac:dyDescent="0.25">
      <c r="A904">
        <v>903</v>
      </c>
      <c r="B904" s="2">
        <v>43383</v>
      </c>
      <c r="C904">
        <v>6</v>
      </c>
      <c r="D904" s="1" t="s">
        <v>36</v>
      </c>
      <c r="E904" s="1" t="s">
        <v>19</v>
      </c>
      <c r="F904" s="1" t="s">
        <v>20</v>
      </c>
      <c r="G904" s="1" t="s">
        <v>17</v>
      </c>
      <c r="H904">
        <v>289</v>
      </c>
      <c r="I904">
        <v>3</v>
      </c>
      <c r="J904">
        <v>867</v>
      </c>
    </row>
    <row r="905" spans="1:10" x14ac:dyDescent="0.25">
      <c r="A905">
        <v>904</v>
      </c>
      <c r="B905" s="2">
        <v>43383</v>
      </c>
      <c r="C905">
        <v>5</v>
      </c>
      <c r="D905" s="1" t="s">
        <v>40</v>
      </c>
      <c r="E905" s="1" t="s">
        <v>15</v>
      </c>
      <c r="F905" s="1" t="s">
        <v>16</v>
      </c>
      <c r="G905" s="1" t="s">
        <v>17</v>
      </c>
      <c r="H905">
        <v>289</v>
      </c>
      <c r="I905">
        <v>1</v>
      </c>
      <c r="J905">
        <v>289</v>
      </c>
    </row>
    <row r="906" spans="1:10" x14ac:dyDescent="0.25">
      <c r="A906">
        <v>905</v>
      </c>
      <c r="B906" s="2">
        <v>43384</v>
      </c>
      <c r="C906">
        <v>13</v>
      </c>
      <c r="D906" s="1" t="s">
        <v>27</v>
      </c>
      <c r="E906" s="1" t="s">
        <v>11</v>
      </c>
      <c r="F906" s="1" t="s">
        <v>12</v>
      </c>
      <c r="G906" s="1" t="s">
        <v>17</v>
      </c>
      <c r="H906">
        <v>289</v>
      </c>
      <c r="I906">
        <v>7</v>
      </c>
      <c r="J906">
        <v>2023</v>
      </c>
    </row>
    <row r="907" spans="1:10" x14ac:dyDescent="0.25">
      <c r="A907">
        <v>906</v>
      </c>
      <c r="B907" s="2">
        <v>43384</v>
      </c>
      <c r="C907">
        <v>19</v>
      </c>
      <c r="D907" s="1" t="s">
        <v>38</v>
      </c>
      <c r="E907" s="1" t="s">
        <v>23</v>
      </c>
      <c r="F907" s="1" t="s">
        <v>24</v>
      </c>
      <c r="G907" s="1" t="s">
        <v>13</v>
      </c>
      <c r="H907">
        <v>199</v>
      </c>
      <c r="I907">
        <v>5</v>
      </c>
      <c r="J907">
        <v>995</v>
      </c>
    </row>
    <row r="908" spans="1:10" x14ac:dyDescent="0.25">
      <c r="A908">
        <v>907</v>
      </c>
      <c r="B908" s="2">
        <v>43385</v>
      </c>
      <c r="C908">
        <v>10</v>
      </c>
      <c r="D908" s="1" t="s">
        <v>39</v>
      </c>
      <c r="E908" s="1" t="s">
        <v>19</v>
      </c>
      <c r="F908" s="1" t="s">
        <v>20</v>
      </c>
      <c r="G908" s="1" t="s">
        <v>13</v>
      </c>
      <c r="H908">
        <v>199</v>
      </c>
      <c r="I908">
        <v>1</v>
      </c>
      <c r="J908">
        <v>199</v>
      </c>
    </row>
    <row r="909" spans="1:10" x14ac:dyDescent="0.25">
      <c r="A909">
        <v>908</v>
      </c>
      <c r="B909" s="2">
        <v>43385</v>
      </c>
      <c r="C909">
        <v>20</v>
      </c>
      <c r="D909" s="1" t="s">
        <v>31</v>
      </c>
      <c r="E909" s="1" t="s">
        <v>23</v>
      </c>
      <c r="F909" s="1" t="s">
        <v>24</v>
      </c>
      <c r="G909" s="1" t="s">
        <v>17</v>
      </c>
      <c r="H909">
        <v>289</v>
      </c>
      <c r="I909">
        <v>3</v>
      </c>
      <c r="J909">
        <v>867</v>
      </c>
    </row>
    <row r="910" spans="1:10" x14ac:dyDescent="0.25">
      <c r="A910">
        <v>909</v>
      </c>
      <c r="B910" s="2">
        <v>43386</v>
      </c>
      <c r="C910">
        <v>7</v>
      </c>
      <c r="D910" s="1" t="s">
        <v>44</v>
      </c>
      <c r="E910" s="1" t="s">
        <v>35</v>
      </c>
      <c r="F910" s="1" t="s">
        <v>20</v>
      </c>
      <c r="G910" s="1" t="s">
        <v>21</v>
      </c>
      <c r="H910">
        <v>159</v>
      </c>
      <c r="I910">
        <v>8</v>
      </c>
      <c r="J910">
        <v>1272</v>
      </c>
    </row>
    <row r="911" spans="1:10" x14ac:dyDescent="0.25">
      <c r="A911">
        <v>910</v>
      </c>
      <c r="B911" s="2">
        <v>43386</v>
      </c>
      <c r="C911">
        <v>19</v>
      </c>
      <c r="D911" s="1" t="s">
        <v>38</v>
      </c>
      <c r="E911" s="1" t="s">
        <v>23</v>
      </c>
      <c r="F911" s="1" t="s">
        <v>24</v>
      </c>
      <c r="G911" s="1" t="s">
        <v>13</v>
      </c>
      <c r="H911">
        <v>199</v>
      </c>
      <c r="I911">
        <v>3</v>
      </c>
      <c r="J911">
        <v>597</v>
      </c>
    </row>
    <row r="912" spans="1:10" x14ac:dyDescent="0.25">
      <c r="A912">
        <v>911</v>
      </c>
      <c r="B912" s="2">
        <v>43386</v>
      </c>
      <c r="C912">
        <v>18</v>
      </c>
      <c r="D912" s="1" t="s">
        <v>22</v>
      </c>
      <c r="E912" s="1" t="s">
        <v>23</v>
      </c>
      <c r="F912" s="1" t="s">
        <v>24</v>
      </c>
      <c r="G912" s="1" t="s">
        <v>26</v>
      </c>
      <c r="H912">
        <v>69</v>
      </c>
      <c r="I912">
        <v>9</v>
      </c>
      <c r="J912">
        <v>621</v>
      </c>
    </row>
    <row r="913" spans="1:10" x14ac:dyDescent="0.25">
      <c r="A913">
        <v>912</v>
      </c>
      <c r="B913" s="2">
        <v>43386</v>
      </c>
      <c r="C913">
        <v>13</v>
      </c>
      <c r="D913" s="1" t="s">
        <v>27</v>
      </c>
      <c r="E913" s="1" t="s">
        <v>11</v>
      </c>
      <c r="F913" s="1" t="s">
        <v>12</v>
      </c>
      <c r="G913" s="1" t="s">
        <v>17</v>
      </c>
      <c r="H913">
        <v>289</v>
      </c>
      <c r="I913">
        <v>8</v>
      </c>
      <c r="J913">
        <v>2312</v>
      </c>
    </row>
    <row r="914" spans="1:10" x14ac:dyDescent="0.25">
      <c r="A914">
        <v>913</v>
      </c>
      <c r="B914" s="2">
        <v>43386</v>
      </c>
      <c r="C914">
        <v>9</v>
      </c>
      <c r="D914" s="1" t="s">
        <v>18</v>
      </c>
      <c r="E914" s="1" t="s">
        <v>35</v>
      </c>
      <c r="F914" s="1" t="s">
        <v>20</v>
      </c>
      <c r="G914" s="1" t="s">
        <v>13</v>
      </c>
      <c r="H914">
        <v>199</v>
      </c>
      <c r="I914">
        <v>5</v>
      </c>
      <c r="J914">
        <v>995</v>
      </c>
    </row>
    <row r="915" spans="1:10" x14ac:dyDescent="0.25">
      <c r="A915">
        <v>914</v>
      </c>
      <c r="B915" s="2">
        <v>43386</v>
      </c>
      <c r="C915">
        <v>14</v>
      </c>
      <c r="D915" s="1" t="s">
        <v>30</v>
      </c>
      <c r="E915" s="1" t="s">
        <v>11</v>
      </c>
      <c r="F915" s="1" t="s">
        <v>12</v>
      </c>
      <c r="G915" s="1" t="s">
        <v>21</v>
      </c>
      <c r="H915">
        <v>159</v>
      </c>
      <c r="I915">
        <v>7</v>
      </c>
      <c r="J915">
        <v>1113</v>
      </c>
    </row>
    <row r="916" spans="1:10" x14ac:dyDescent="0.25">
      <c r="A916">
        <v>915</v>
      </c>
      <c r="B916" s="2">
        <v>43387</v>
      </c>
      <c r="C916">
        <v>3</v>
      </c>
      <c r="D916" s="1" t="s">
        <v>33</v>
      </c>
      <c r="E916" s="1" t="s">
        <v>15</v>
      </c>
      <c r="F916" s="1" t="s">
        <v>16</v>
      </c>
      <c r="G916" s="1" t="s">
        <v>26</v>
      </c>
      <c r="H916">
        <v>69</v>
      </c>
      <c r="I916">
        <v>2</v>
      </c>
      <c r="J916">
        <v>138</v>
      </c>
    </row>
    <row r="917" spans="1:10" x14ac:dyDescent="0.25">
      <c r="A917">
        <v>916</v>
      </c>
      <c r="B917" s="2">
        <v>43387</v>
      </c>
      <c r="C917">
        <v>10</v>
      </c>
      <c r="D917" s="1" t="s">
        <v>39</v>
      </c>
      <c r="E917" s="1" t="s">
        <v>35</v>
      </c>
      <c r="F917" s="1" t="s">
        <v>20</v>
      </c>
      <c r="G917" s="1" t="s">
        <v>17</v>
      </c>
      <c r="H917">
        <v>289</v>
      </c>
      <c r="I917">
        <v>5</v>
      </c>
      <c r="J917">
        <v>1445</v>
      </c>
    </row>
    <row r="918" spans="1:10" x14ac:dyDescent="0.25">
      <c r="A918">
        <v>917</v>
      </c>
      <c r="B918" s="2">
        <v>43388</v>
      </c>
      <c r="C918">
        <v>18</v>
      </c>
      <c r="D918" s="1" t="s">
        <v>22</v>
      </c>
      <c r="E918" s="1" t="s">
        <v>29</v>
      </c>
      <c r="F918" s="1" t="s">
        <v>24</v>
      </c>
      <c r="G918" s="1" t="s">
        <v>26</v>
      </c>
      <c r="H918">
        <v>69</v>
      </c>
      <c r="I918">
        <v>2</v>
      </c>
      <c r="J918">
        <v>138</v>
      </c>
    </row>
    <row r="919" spans="1:10" x14ac:dyDescent="0.25">
      <c r="A919">
        <v>918</v>
      </c>
      <c r="B919" s="2">
        <v>43388</v>
      </c>
      <c r="C919">
        <v>18</v>
      </c>
      <c r="D919" s="1" t="s">
        <v>22</v>
      </c>
      <c r="E919" s="1" t="s">
        <v>29</v>
      </c>
      <c r="F919" s="1" t="s">
        <v>24</v>
      </c>
      <c r="G919" s="1" t="s">
        <v>21</v>
      </c>
      <c r="H919">
        <v>159</v>
      </c>
      <c r="I919">
        <v>5</v>
      </c>
      <c r="J919">
        <v>795</v>
      </c>
    </row>
    <row r="920" spans="1:10" x14ac:dyDescent="0.25">
      <c r="A920">
        <v>919</v>
      </c>
      <c r="B920" s="2">
        <v>43388</v>
      </c>
      <c r="C920">
        <v>14</v>
      </c>
      <c r="D920" s="1" t="s">
        <v>30</v>
      </c>
      <c r="E920" s="1" t="s">
        <v>41</v>
      </c>
      <c r="F920" s="1" t="s">
        <v>12</v>
      </c>
      <c r="G920" s="1" t="s">
        <v>32</v>
      </c>
      <c r="H920">
        <v>399</v>
      </c>
      <c r="I920">
        <v>9</v>
      </c>
      <c r="J920">
        <v>3591</v>
      </c>
    </row>
    <row r="921" spans="1:10" x14ac:dyDescent="0.25">
      <c r="A921">
        <v>920</v>
      </c>
      <c r="B921" s="2">
        <v>43388</v>
      </c>
      <c r="C921">
        <v>2</v>
      </c>
      <c r="D921" s="1" t="s">
        <v>45</v>
      </c>
      <c r="E921" s="1" t="s">
        <v>43</v>
      </c>
      <c r="F921" s="1" t="s">
        <v>16</v>
      </c>
      <c r="G921" s="1" t="s">
        <v>13</v>
      </c>
      <c r="H921">
        <v>199</v>
      </c>
      <c r="I921">
        <v>3</v>
      </c>
      <c r="J921">
        <v>597</v>
      </c>
    </row>
    <row r="922" spans="1:10" x14ac:dyDescent="0.25">
      <c r="A922">
        <v>921</v>
      </c>
      <c r="B922" s="2">
        <v>43389</v>
      </c>
      <c r="C922">
        <v>17</v>
      </c>
      <c r="D922" s="1" t="s">
        <v>28</v>
      </c>
      <c r="E922" s="1" t="s">
        <v>23</v>
      </c>
      <c r="F922" s="1" t="s">
        <v>24</v>
      </c>
      <c r="G922" s="1" t="s">
        <v>32</v>
      </c>
      <c r="H922">
        <v>399</v>
      </c>
      <c r="I922">
        <v>6</v>
      </c>
      <c r="J922">
        <v>2394</v>
      </c>
    </row>
    <row r="923" spans="1:10" x14ac:dyDescent="0.25">
      <c r="A923">
        <v>922</v>
      </c>
      <c r="B923" s="2">
        <v>43389</v>
      </c>
      <c r="C923">
        <v>1</v>
      </c>
      <c r="D923" s="1" t="s">
        <v>14</v>
      </c>
      <c r="E923" s="1" t="s">
        <v>15</v>
      </c>
      <c r="F923" s="1" t="s">
        <v>16</v>
      </c>
      <c r="G923" s="1" t="s">
        <v>17</v>
      </c>
      <c r="H923">
        <v>289</v>
      </c>
      <c r="I923">
        <v>7</v>
      </c>
      <c r="J923">
        <v>2023</v>
      </c>
    </row>
    <row r="924" spans="1:10" x14ac:dyDescent="0.25">
      <c r="A924">
        <v>923</v>
      </c>
      <c r="B924" s="2">
        <v>43389</v>
      </c>
      <c r="C924">
        <v>15</v>
      </c>
      <c r="D924" s="1" t="s">
        <v>46</v>
      </c>
      <c r="E924" s="1" t="s">
        <v>41</v>
      </c>
      <c r="F924" s="1" t="s">
        <v>12</v>
      </c>
      <c r="G924" s="1" t="s">
        <v>21</v>
      </c>
      <c r="H924">
        <v>159</v>
      </c>
      <c r="I924">
        <v>3</v>
      </c>
      <c r="J924">
        <v>477</v>
      </c>
    </row>
    <row r="925" spans="1:10" x14ac:dyDescent="0.25">
      <c r="A925">
        <v>924</v>
      </c>
      <c r="B925" s="2">
        <v>43389</v>
      </c>
      <c r="C925">
        <v>11</v>
      </c>
      <c r="D925" s="1" t="s">
        <v>10</v>
      </c>
      <c r="E925" s="1" t="s">
        <v>11</v>
      </c>
      <c r="F925" s="1" t="s">
        <v>12</v>
      </c>
      <c r="G925" s="1" t="s">
        <v>17</v>
      </c>
      <c r="H925">
        <v>289</v>
      </c>
      <c r="I925">
        <v>9</v>
      </c>
      <c r="J925">
        <v>2601</v>
      </c>
    </row>
    <row r="926" spans="1:10" x14ac:dyDescent="0.25">
      <c r="A926">
        <v>925</v>
      </c>
      <c r="B926" s="2">
        <v>43389</v>
      </c>
      <c r="C926">
        <v>12</v>
      </c>
      <c r="D926" s="1" t="s">
        <v>42</v>
      </c>
      <c r="E926" s="1" t="s">
        <v>11</v>
      </c>
      <c r="F926" s="1" t="s">
        <v>12</v>
      </c>
      <c r="G926" s="1" t="s">
        <v>13</v>
      </c>
      <c r="H926">
        <v>199</v>
      </c>
      <c r="I926">
        <v>7</v>
      </c>
      <c r="J926">
        <v>1393</v>
      </c>
    </row>
    <row r="927" spans="1:10" x14ac:dyDescent="0.25">
      <c r="A927">
        <v>926</v>
      </c>
      <c r="B927" s="2">
        <v>43390</v>
      </c>
      <c r="C927">
        <v>1</v>
      </c>
      <c r="D927" s="1" t="s">
        <v>14</v>
      </c>
      <c r="E927" s="1" t="s">
        <v>43</v>
      </c>
      <c r="F927" s="1" t="s">
        <v>16</v>
      </c>
      <c r="G927" s="1" t="s">
        <v>13</v>
      </c>
      <c r="H927">
        <v>199</v>
      </c>
      <c r="I927">
        <v>0</v>
      </c>
      <c r="J927">
        <v>0</v>
      </c>
    </row>
    <row r="928" spans="1:10" x14ac:dyDescent="0.25">
      <c r="A928">
        <v>927</v>
      </c>
      <c r="B928" s="2">
        <v>43390</v>
      </c>
      <c r="C928">
        <v>8</v>
      </c>
      <c r="D928" s="1" t="s">
        <v>34</v>
      </c>
      <c r="E928" s="1" t="s">
        <v>35</v>
      </c>
      <c r="F928" s="1" t="s">
        <v>20</v>
      </c>
      <c r="G928" s="1" t="s">
        <v>13</v>
      </c>
      <c r="H928">
        <v>199</v>
      </c>
      <c r="I928">
        <v>8</v>
      </c>
      <c r="J928">
        <v>1592</v>
      </c>
    </row>
    <row r="929" spans="1:10" x14ac:dyDescent="0.25">
      <c r="A929">
        <v>928</v>
      </c>
      <c r="B929" s="2">
        <v>43390</v>
      </c>
      <c r="C929">
        <v>20</v>
      </c>
      <c r="D929" s="1" t="s">
        <v>31</v>
      </c>
      <c r="E929" s="1" t="s">
        <v>29</v>
      </c>
      <c r="F929" s="1" t="s">
        <v>24</v>
      </c>
      <c r="G929" s="1" t="s">
        <v>21</v>
      </c>
      <c r="H929">
        <v>159</v>
      </c>
      <c r="I929">
        <v>8</v>
      </c>
      <c r="J929">
        <v>1272</v>
      </c>
    </row>
    <row r="930" spans="1:10" x14ac:dyDescent="0.25">
      <c r="A930">
        <v>929</v>
      </c>
      <c r="B930" s="2">
        <v>43390</v>
      </c>
      <c r="C930">
        <v>14</v>
      </c>
      <c r="D930" s="1" t="s">
        <v>30</v>
      </c>
      <c r="E930" s="1" t="s">
        <v>41</v>
      </c>
      <c r="F930" s="1" t="s">
        <v>12</v>
      </c>
      <c r="G930" s="1" t="s">
        <v>21</v>
      </c>
      <c r="H930">
        <v>159</v>
      </c>
      <c r="I930">
        <v>5</v>
      </c>
      <c r="J930">
        <v>795</v>
      </c>
    </row>
    <row r="931" spans="1:10" x14ac:dyDescent="0.25">
      <c r="A931">
        <v>930</v>
      </c>
      <c r="B931" s="2">
        <v>43390</v>
      </c>
      <c r="C931">
        <v>10</v>
      </c>
      <c r="D931" s="1" t="s">
        <v>39</v>
      </c>
      <c r="E931" s="1" t="s">
        <v>35</v>
      </c>
      <c r="F931" s="1" t="s">
        <v>20</v>
      </c>
      <c r="G931" s="1" t="s">
        <v>13</v>
      </c>
      <c r="H931">
        <v>199</v>
      </c>
      <c r="I931">
        <v>3</v>
      </c>
      <c r="J931">
        <v>597</v>
      </c>
    </row>
    <row r="932" spans="1:10" x14ac:dyDescent="0.25">
      <c r="A932">
        <v>931</v>
      </c>
      <c r="B932" s="2">
        <v>43391</v>
      </c>
      <c r="C932">
        <v>17</v>
      </c>
      <c r="D932" s="1" t="s">
        <v>28</v>
      </c>
      <c r="E932" s="1" t="s">
        <v>29</v>
      </c>
      <c r="F932" s="1" t="s">
        <v>24</v>
      </c>
      <c r="G932" s="1" t="s">
        <v>32</v>
      </c>
      <c r="H932">
        <v>399</v>
      </c>
      <c r="I932">
        <v>0</v>
      </c>
      <c r="J932">
        <v>0</v>
      </c>
    </row>
    <row r="933" spans="1:10" x14ac:dyDescent="0.25">
      <c r="A933">
        <v>932</v>
      </c>
      <c r="B933" s="2">
        <v>43392</v>
      </c>
      <c r="C933">
        <v>5</v>
      </c>
      <c r="D933" s="1" t="s">
        <v>40</v>
      </c>
      <c r="E933" s="1" t="s">
        <v>43</v>
      </c>
      <c r="F933" s="1" t="s">
        <v>16</v>
      </c>
      <c r="G933" s="1" t="s">
        <v>13</v>
      </c>
      <c r="H933">
        <v>199</v>
      </c>
      <c r="I933">
        <v>6</v>
      </c>
      <c r="J933">
        <v>1194</v>
      </c>
    </row>
    <row r="934" spans="1:10" x14ac:dyDescent="0.25">
      <c r="A934">
        <v>933</v>
      </c>
      <c r="B934" s="2">
        <v>43392</v>
      </c>
      <c r="C934">
        <v>10</v>
      </c>
      <c r="D934" s="1" t="s">
        <v>39</v>
      </c>
      <c r="E934" s="1" t="s">
        <v>35</v>
      </c>
      <c r="F934" s="1" t="s">
        <v>20</v>
      </c>
      <c r="G934" s="1" t="s">
        <v>21</v>
      </c>
      <c r="H934">
        <v>159</v>
      </c>
      <c r="I934">
        <v>6</v>
      </c>
      <c r="J934">
        <v>954</v>
      </c>
    </row>
    <row r="935" spans="1:10" x14ac:dyDescent="0.25">
      <c r="A935">
        <v>934</v>
      </c>
      <c r="B935" s="2">
        <v>43393</v>
      </c>
      <c r="C935">
        <v>17</v>
      </c>
      <c r="D935" s="1" t="s">
        <v>28</v>
      </c>
      <c r="E935" s="1" t="s">
        <v>29</v>
      </c>
      <c r="F935" s="1" t="s">
        <v>24</v>
      </c>
      <c r="G935" s="1" t="s">
        <v>21</v>
      </c>
      <c r="H935">
        <v>159</v>
      </c>
      <c r="I935">
        <v>1</v>
      </c>
      <c r="J935">
        <v>159</v>
      </c>
    </row>
    <row r="936" spans="1:10" x14ac:dyDescent="0.25">
      <c r="A936">
        <v>935</v>
      </c>
      <c r="B936" s="2">
        <v>43393</v>
      </c>
      <c r="C936">
        <v>18</v>
      </c>
      <c r="D936" s="1" t="s">
        <v>22</v>
      </c>
      <c r="E936" s="1" t="s">
        <v>23</v>
      </c>
      <c r="F936" s="1" t="s">
        <v>24</v>
      </c>
      <c r="G936" s="1" t="s">
        <v>17</v>
      </c>
      <c r="H936">
        <v>289</v>
      </c>
      <c r="I936">
        <v>5</v>
      </c>
      <c r="J936">
        <v>1445</v>
      </c>
    </row>
    <row r="937" spans="1:10" x14ac:dyDescent="0.25">
      <c r="A937">
        <v>936</v>
      </c>
      <c r="B937" s="2">
        <v>43393</v>
      </c>
      <c r="C937">
        <v>2</v>
      </c>
      <c r="D937" s="1" t="s">
        <v>45</v>
      </c>
      <c r="E937" s="1" t="s">
        <v>15</v>
      </c>
      <c r="F937" s="1" t="s">
        <v>16</v>
      </c>
      <c r="G937" s="1" t="s">
        <v>26</v>
      </c>
      <c r="H937">
        <v>69</v>
      </c>
      <c r="I937">
        <v>8</v>
      </c>
      <c r="J937">
        <v>552</v>
      </c>
    </row>
    <row r="938" spans="1:10" x14ac:dyDescent="0.25">
      <c r="A938">
        <v>937</v>
      </c>
      <c r="B938" s="2">
        <v>43394</v>
      </c>
      <c r="C938">
        <v>17</v>
      </c>
      <c r="D938" s="1" t="s">
        <v>28</v>
      </c>
      <c r="E938" s="1" t="s">
        <v>23</v>
      </c>
      <c r="F938" s="1" t="s">
        <v>24</v>
      </c>
      <c r="G938" s="1" t="s">
        <v>26</v>
      </c>
      <c r="H938">
        <v>69</v>
      </c>
      <c r="I938">
        <v>5</v>
      </c>
      <c r="J938">
        <v>345</v>
      </c>
    </row>
    <row r="939" spans="1:10" x14ac:dyDescent="0.25">
      <c r="A939">
        <v>938</v>
      </c>
      <c r="B939" s="2">
        <v>43395</v>
      </c>
      <c r="C939">
        <v>10</v>
      </c>
      <c r="D939" s="1" t="s">
        <v>39</v>
      </c>
      <c r="E939" s="1" t="s">
        <v>19</v>
      </c>
      <c r="F939" s="1" t="s">
        <v>20</v>
      </c>
      <c r="G939" s="1" t="s">
        <v>32</v>
      </c>
      <c r="H939">
        <v>399</v>
      </c>
      <c r="I939">
        <v>0</v>
      </c>
      <c r="J939">
        <v>0</v>
      </c>
    </row>
    <row r="940" spans="1:10" x14ac:dyDescent="0.25">
      <c r="A940">
        <v>939</v>
      </c>
      <c r="B940" s="2">
        <v>43395</v>
      </c>
      <c r="C940">
        <v>1</v>
      </c>
      <c r="D940" s="1" t="s">
        <v>14</v>
      </c>
      <c r="E940" s="1" t="s">
        <v>43</v>
      </c>
      <c r="F940" s="1" t="s">
        <v>16</v>
      </c>
      <c r="G940" s="1" t="s">
        <v>17</v>
      </c>
      <c r="H940">
        <v>289</v>
      </c>
      <c r="I940">
        <v>7</v>
      </c>
      <c r="J940">
        <v>2023</v>
      </c>
    </row>
    <row r="941" spans="1:10" x14ac:dyDescent="0.25">
      <c r="A941">
        <v>940</v>
      </c>
      <c r="B941" s="2">
        <v>43395</v>
      </c>
      <c r="C941">
        <v>5</v>
      </c>
      <c r="D941" s="1" t="s">
        <v>40</v>
      </c>
      <c r="E941" s="1" t="s">
        <v>15</v>
      </c>
      <c r="F941" s="1" t="s">
        <v>16</v>
      </c>
      <c r="G941" s="1" t="s">
        <v>13</v>
      </c>
      <c r="H941">
        <v>199</v>
      </c>
      <c r="I941">
        <v>5</v>
      </c>
      <c r="J941">
        <v>995</v>
      </c>
    </row>
    <row r="942" spans="1:10" x14ac:dyDescent="0.25">
      <c r="A942">
        <v>941</v>
      </c>
      <c r="B942" s="2">
        <v>43395</v>
      </c>
      <c r="C942">
        <v>20</v>
      </c>
      <c r="D942" s="1" t="s">
        <v>31</v>
      </c>
      <c r="E942" s="1" t="s">
        <v>23</v>
      </c>
      <c r="F942" s="1" t="s">
        <v>24</v>
      </c>
      <c r="G942" s="1" t="s">
        <v>21</v>
      </c>
      <c r="H942">
        <v>159</v>
      </c>
      <c r="I942">
        <v>5</v>
      </c>
      <c r="J942">
        <v>795</v>
      </c>
    </row>
    <row r="943" spans="1:10" x14ac:dyDescent="0.25">
      <c r="A943">
        <v>942</v>
      </c>
      <c r="B943" s="2">
        <v>43395</v>
      </c>
      <c r="C943">
        <v>1</v>
      </c>
      <c r="D943" s="1" t="s">
        <v>14</v>
      </c>
      <c r="E943" s="1" t="s">
        <v>15</v>
      </c>
      <c r="F943" s="1" t="s">
        <v>16</v>
      </c>
      <c r="G943" s="1" t="s">
        <v>32</v>
      </c>
      <c r="H943">
        <v>399</v>
      </c>
      <c r="I943">
        <v>8</v>
      </c>
      <c r="J943">
        <v>3192</v>
      </c>
    </row>
    <row r="944" spans="1:10" x14ac:dyDescent="0.25">
      <c r="A944">
        <v>943</v>
      </c>
      <c r="B944" s="2">
        <v>43395</v>
      </c>
      <c r="C944">
        <v>6</v>
      </c>
      <c r="D944" s="1" t="s">
        <v>36</v>
      </c>
      <c r="E944" s="1" t="s">
        <v>19</v>
      </c>
      <c r="F944" s="1" t="s">
        <v>20</v>
      </c>
      <c r="G944" s="1" t="s">
        <v>21</v>
      </c>
      <c r="H944">
        <v>159</v>
      </c>
      <c r="I944">
        <v>6</v>
      </c>
      <c r="J944">
        <v>954</v>
      </c>
    </row>
    <row r="945" spans="1:10" x14ac:dyDescent="0.25">
      <c r="A945">
        <v>944</v>
      </c>
      <c r="B945" s="2">
        <v>43396</v>
      </c>
      <c r="C945">
        <v>4</v>
      </c>
      <c r="D945" s="1" t="s">
        <v>37</v>
      </c>
      <c r="E945" s="1" t="s">
        <v>43</v>
      </c>
      <c r="F945" s="1" t="s">
        <v>16</v>
      </c>
      <c r="G945" s="1" t="s">
        <v>32</v>
      </c>
      <c r="H945">
        <v>399</v>
      </c>
      <c r="I945">
        <v>1</v>
      </c>
      <c r="J945">
        <v>399</v>
      </c>
    </row>
    <row r="946" spans="1:10" x14ac:dyDescent="0.25">
      <c r="A946">
        <v>945</v>
      </c>
      <c r="B946" s="2">
        <v>43397</v>
      </c>
      <c r="C946">
        <v>17</v>
      </c>
      <c r="D946" s="1" t="s">
        <v>28</v>
      </c>
      <c r="E946" s="1" t="s">
        <v>29</v>
      </c>
      <c r="F946" s="1" t="s">
        <v>24</v>
      </c>
      <c r="G946" s="1" t="s">
        <v>13</v>
      </c>
      <c r="H946">
        <v>199</v>
      </c>
      <c r="I946">
        <v>5</v>
      </c>
      <c r="J946">
        <v>995</v>
      </c>
    </row>
    <row r="947" spans="1:10" x14ac:dyDescent="0.25">
      <c r="A947">
        <v>946</v>
      </c>
      <c r="B947" s="2">
        <v>43398</v>
      </c>
      <c r="C947">
        <v>1</v>
      </c>
      <c r="D947" s="1" t="s">
        <v>14</v>
      </c>
      <c r="E947" s="1" t="s">
        <v>15</v>
      </c>
      <c r="F947" s="1" t="s">
        <v>16</v>
      </c>
      <c r="G947" s="1" t="s">
        <v>13</v>
      </c>
      <c r="H947">
        <v>199</v>
      </c>
      <c r="I947">
        <v>1</v>
      </c>
      <c r="J947">
        <v>199</v>
      </c>
    </row>
    <row r="948" spans="1:10" x14ac:dyDescent="0.25">
      <c r="A948">
        <v>947</v>
      </c>
      <c r="B948" s="2">
        <v>43398</v>
      </c>
      <c r="C948">
        <v>15</v>
      </c>
      <c r="D948" s="1" t="s">
        <v>46</v>
      </c>
      <c r="E948" s="1" t="s">
        <v>11</v>
      </c>
      <c r="F948" s="1" t="s">
        <v>12</v>
      </c>
      <c r="G948" s="1" t="s">
        <v>26</v>
      </c>
      <c r="H948">
        <v>69</v>
      </c>
      <c r="I948">
        <v>4</v>
      </c>
      <c r="J948">
        <v>276</v>
      </c>
    </row>
    <row r="949" spans="1:10" x14ac:dyDescent="0.25">
      <c r="A949">
        <v>948</v>
      </c>
      <c r="B949" s="2">
        <v>43398</v>
      </c>
      <c r="C949">
        <v>9</v>
      </c>
      <c r="D949" s="1" t="s">
        <v>18</v>
      </c>
      <c r="E949" s="1" t="s">
        <v>35</v>
      </c>
      <c r="F949" s="1" t="s">
        <v>20</v>
      </c>
      <c r="G949" s="1" t="s">
        <v>13</v>
      </c>
      <c r="H949">
        <v>199</v>
      </c>
      <c r="I949">
        <v>5</v>
      </c>
      <c r="J949">
        <v>995</v>
      </c>
    </row>
    <row r="950" spans="1:10" x14ac:dyDescent="0.25">
      <c r="A950">
        <v>949</v>
      </c>
      <c r="B950" s="2">
        <v>43399</v>
      </c>
      <c r="C950">
        <v>6</v>
      </c>
      <c r="D950" s="1" t="s">
        <v>36</v>
      </c>
      <c r="E950" s="1" t="s">
        <v>35</v>
      </c>
      <c r="F950" s="1" t="s">
        <v>20</v>
      </c>
      <c r="G950" s="1" t="s">
        <v>32</v>
      </c>
      <c r="H950">
        <v>399</v>
      </c>
      <c r="I950">
        <v>5</v>
      </c>
      <c r="J950">
        <v>1995</v>
      </c>
    </row>
    <row r="951" spans="1:10" x14ac:dyDescent="0.25">
      <c r="A951">
        <v>950</v>
      </c>
      <c r="B951" s="2">
        <v>43399</v>
      </c>
      <c r="C951">
        <v>20</v>
      </c>
      <c r="D951" s="1" t="s">
        <v>31</v>
      </c>
      <c r="E951" s="1" t="s">
        <v>23</v>
      </c>
      <c r="F951" s="1" t="s">
        <v>24</v>
      </c>
      <c r="G951" s="1" t="s">
        <v>26</v>
      </c>
      <c r="H951">
        <v>69</v>
      </c>
      <c r="I951">
        <v>8</v>
      </c>
      <c r="J951">
        <v>552</v>
      </c>
    </row>
    <row r="952" spans="1:10" x14ac:dyDescent="0.25">
      <c r="A952">
        <v>951</v>
      </c>
      <c r="B952" s="2">
        <v>43400</v>
      </c>
      <c r="C952">
        <v>17</v>
      </c>
      <c r="D952" s="1" t="s">
        <v>28</v>
      </c>
      <c r="E952" s="1" t="s">
        <v>29</v>
      </c>
      <c r="F952" s="1" t="s">
        <v>24</v>
      </c>
      <c r="G952" s="1" t="s">
        <v>13</v>
      </c>
      <c r="H952">
        <v>199</v>
      </c>
      <c r="I952">
        <v>1</v>
      </c>
      <c r="J952">
        <v>199</v>
      </c>
    </row>
    <row r="953" spans="1:10" x14ac:dyDescent="0.25">
      <c r="A953">
        <v>952</v>
      </c>
      <c r="B953" s="2">
        <v>43400</v>
      </c>
      <c r="C953">
        <v>6</v>
      </c>
      <c r="D953" s="1" t="s">
        <v>36</v>
      </c>
      <c r="E953" s="1" t="s">
        <v>35</v>
      </c>
      <c r="F953" s="1" t="s">
        <v>20</v>
      </c>
      <c r="G953" s="1" t="s">
        <v>32</v>
      </c>
      <c r="H953">
        <v>399</v>
      </c>
      <c r="I953">
        <v>7</v>
      </c>
      <c r="J953">
        <v>2793</v>
      </c>
    </row>
    <row r="954" spans="1:10" x14ac:dyDescent="0.25">
      <c r="A954">
        <v>953</v>
      </c>
      <c r="B954" s="2">
        <v>43400</v>
      </c>
      <c r="C954">
        <v>3</v>
      </c>
      <c r="D954" s="1" t="s">
        <v>33</v>
      </c>
      <c r="E954" s="1" t="s">
        <v>43</v>
      </c>
      <c r="F954" s="1" t="s">
        <v>16</v>
      </c>
      <c r="G954" s="1" t="s">
        <v>13</v>
      </c>
      <c r="H954">
        <v>199</v>
      </c>
      <c r="I954">
        <v>1</v>
      </c>
      <c r="J954">
        <v>199</v>
      </c>
    </row>
    <row r="955" spans="1:10" x14ac:dyDescent="0.25">
      <c r="A955">
        <v>954</v>
      </c>
      <c r="B955" s="2">
        <v>43400</v>
      </c>
      <c r="C955">
        <v>4</v>
      </c>
      <c r="D955" s="1" t="s">
        <v>37</v>
      </c>
      <c r="E955" s="1" t="s">
        <v>15</v>
      </c>
      <c r="F955" s="1" t="s">
        <v>16</v>
      </c>
      <c r="G955" s="1" t="s">
        <v>13</v>
      </c>
      <c r="H955">
        <v>199</v>
      </c>
      <c r="I955">
        <v>8</v>
      </c>
      <c r="J955">
        <v>1592</v>
      </c>
    </row>
    <row r="956" spans="1:10" x14ac:dyDescent="0.25">
      <c r="A956">
        <v>955</v>
      </c>
      <c r="B956" s="2">
        <v>43401</v>
      </c>
      <c r="C956">
        <v>10</v>
      </c>
      <c r="D956" s="1" t="s">
        <v>39</v>
      </c>
      <c r="E956" s="1" t="s">
        <v>19</v>
      </c>
      <c r="F956" s="1" t="s">
        <v>20</v>
      </c>
      <c r="G956" s="1" t="s">
        <v>13</v>
      </c>
      <c r="H956">
        <v>199</v>
      </c>
      <c r="I956">
        <v>0</v>
      </c>
      <c r="J956">
        <v>0</v>
      </c>
    </row>
    <row r="957" spans="1:10" x14ac:dyDescent="0.25">
      <c r="A957">
        <v>956</v>
      </c>
      <c r="B957" s="2">
        <v>43402</v>
      </c>
      <c r="C957">
        <v>6</v>
      </c>
      <c r="D957" s="1" t="s">
        <v>36</v>
      </c>
      <c r="E957" s="1" t="s">
        <v>19</v>
      </c>
      <c r="F957" s="1" t="s">
        <v>20</v>
      </c>
      <c r="G957" s="1" t="s">
        <v>21</v>
      </c>
      <c r="H957">
        <v>159</v>
      </c>
      <c r="I957">
        <v>4</v>
      </c>
      <c r="J957">
        <v>636</v>
      </c>
    </row>
    <row r="958" spans="1:10" x14ac:dyDescent="0.25">
      <c r="A958">
        <v>957</v>
      </c>
      <c r="B958" s="2">
        <v>43402</v>
      </c>
      <c r="C958">
        <v>17</v>
      </c>
      <c r="D958" s="1" t="s">
        <v>28</v>
      </c>
      <c r="E958" s="1" t="s">
        <v>29</v>
      </c>
      <c r="F958" s="1" t="s">
        <v>24</v>
      </c>
      <c r="G958" s="1" t="s">
        <v>17</v>
      </c>
      <c r="H958">
        <v>289</v>
      </c>
      <c r="I958">
        <v>9</v>
      </c>
      <c r="J958">
        <v>2601</v>
      </c>
    </row>
    <row r="959" spans="1:10" x14ac:dyDescent="0.25">
      <c r="A959">
        <v>958</v>
      </c>
      <c r="B959" s="2">
        <v>43402</v>
      </c>
      <c r="C959">
        <v>9</v>
      </c>
      <c r="D959" s="1" t="s">
        <v>18</v>
      </c>
      <c r="E959" s="1" t="s">
        <v>19</v>
      </c>
      <c r="F959" s="1" t="s">
        <v>20</v>
      </c>
      <c r="G959" s="1" t="s">
        <v>32</v>
      </c>
      <c r="H959">
        <v>399</v>
      </c>
      <c r="I959">
        <v>2</v>
      </c>
      <c r="J959">
        <v>798</v>
      </c>
    </row>
    <row r="960" spans="1:10" x14ac:dyDescent="0.25">
      <c r="A960">
        <v>959</v>
      </c>
      <c r="B960" s="2">
        <v>43402</v>
      </c>
      <c r="C960">
        <v>2</v>
      </c>
      <c r="D960" s="1" t="s">
        <v>45</v>
      </c>
      <c r="E960" s="1" t="s">
        <v>15</v>
      </c>
      <c r="F960" s="1" t="s">
        <v>16</v>
      </c>
      <c r="G960" s="1" t="s">
        <v>26</v>
      </c>
      <c r="H960">
        <v>69</v>
      </c>
      <c r="I960">
        <v>6</v>
      </c>
      <c r="J960">
        <v>414</v>
      </c>
    </row>
    <row r="961" spans="1:10" x14ac:dyDescent="0.25">
      <c r="A961">
        <v>960</v>
      </c>
      <c r="B961" s="2">
        <v>43402</v>
      </c>
      <c r="C961">
        <v>9</v>
      </c>
      <c r="D961" s="1" t="s">
        <v>18</v>
      </c>
      <c r="E961" s="1" t="s">
        <v>19</v>
      </c>
      <c r="F961" s="1" t="s">
        <v>20</v>
      </c>
      <c r="G961" s="1" t="s">
        <v>26</v>
      </c>
      <c r="H961">
        <v>69</v>
      </c>
      <c r="I961">
        <v>6</v>
      </c>
      <c r="J961">
        <v>414</v>
      </c>
    </row>
    <row r="962" spans="1:10" x14ac:dyDescent="0.25">
      <c r="A962">
        <v>961</v>
      </c>
      <c r="B962" s="2">
        <v>43402</v>
      </c>
      <c r="C962">
        <v>18</v>
      </c>
      <c r="D962" s="1" t="s">
        <v>22</v>
      </c>
      <c r="E962" s="1" t="s">
        <v>29</v>
      </c>
      <c r="F962" s="1" t="s">
        <v>24</v>
      </c>
      <c r="G962" s="1" t="s">
        <v>26</v>
      </c>
      <c r="H962">
        <v>69</v>
      </c>
      <c r="I962">
        <v>3</v>
      </c>
      <c r="J962">
        <v>207</v>
      </c>
    </row>
    <row r="963" spans="1:10" x14ac:dyDescent="0.25">
      <c r="A963">
        <v>962</v>
      </c>
      <c r="B963" s="2">
        <v>43402</v>
      </c>
      <c r="C963">
        <v>9</v>
      </c>
      <c r="D963" s="1" t="s">
        <v>18</v>
      </c>
      <c r="E963" s="1" t="s">
        <v>19</v>
      </c>
      <c r="F963" s="1" t="s">
        <v>20</v>
      </c>
      <c r="G963" s="1" t="s">
        <v>26</v>
      </c>
      <c r="H963">
        <v>69</v>
      </c>
      <c r="I963">
        <v>2</v>
      </c>
      <c r="J963">
        <v>138</v>
      </c>
    </row>
    <row r="964" spans="1:10" x14ac:dyDescent="0.25">
      <c r="A964">
        <v>963</v>
      </c>
      <c r="B964" s="2">
        <v>43402</v>
      </c>
      <c r="C964">
        <v>14</v>
      </c>
      <c r="D964" s="1" t="s">
        <v>30</v>
      </c>
      <c r="E964" s="1" t="s">
        <v>11</v>
      </c>
      <c r="F964" s="1" t="s">
        <v>12</v>
      </c>
      <c r="G964" s="1" t="s">
        <v>21</v>
      </c>
      <c r="H964">
        <v>159</v>
      </c>
      <c r="I964">
        <v>1</v>
      </c>
      <c r="J964">
        <v>159</v>
      </c>
    </row>
    <row r="965" spans="1:10" x14ac:dyDescent="0.25">
      <c r="A965">
        <v>964</v>
      </c>
      <c r="B965" s="2">
        <v>43402</v>
      </c>
      <c r="C965">
        <v>7</v>
      </c>
      <c r="D965" s="1" t="s">
        <v>44</v>
      </c>
      <c r="E965" s="1" t="s">
        <v>19</v>
      </c>
      <c r="F965" s="1" t="s">
        <v>20</v>
      </c>
      <c r="G965" s="1" t="s">
        <v>32</v>
      </c>
      <c r="H965">
        <v>399</v>
      </c>
      <c r="I965">
        <v>2</v>
      </c>
      <c r="J965">
        <v>798</v>
      </c>
    </row>
    <row r="966" spans="1:10" x14ac:dyDescent="0.25">
      <c r="A966">
        <v>965</v>
      </c>
      <c r="B966" s="2">
        <v>43402</v>
      </c>
      <c r="C966">
        <v>2</v>
      </c>
      <c r="D966" s="1" t="s">
        <v>45</v>
      </c>
      <c r="E966" s="1" t="s">
        <v>43</v>
      </c>
      <c r="F966" s="1" t="s">
        <v>16</v>
      </c>
      <c r="G966" s="1" t="s">
        <v>13</v>
      </c>
      <c r="H966">
        <v>199</v>
      </c>
      <c r="I966">
        <v>7</v>
      </c>
      <c r="J966">
        <v>1393</v>
      </c>
    </row>
    <row r="967" spans="1:10" x14ac:dyDescent="0.25">
      <c r="A967">
        <v>966</v>
      </c>
      <c r="B967" s="2">
        <v>43402</v>
      </c>
      <c r="C967">
        <v>18</v>
      </c>
      <c r="D967" s="1" t="s">
        <v>22</v>
      </c>
      <c r="E967" s="1" t="s">
        <v>29</v>
      </c>
      <c r="F967" s="1" t="s">
        <v>24</v>
      </c>
      <c r="G967" s="1" t="s">
        <v>21</v>
      </c>
      <c r="H967">
        <v>159</v>
      </c>
      <c r="I967">
        <v>7</v>
      </c>
      <c r="J967">
        <v>1113</v>
      </c>
    </row>
    <row r="968" spans="1:10" x14ac:dyDescent="0.25">
      <c r="A968">
        <v>967</v>
      </c>
      <c r="B968" s="2">
        <v>43403</v>
      </c>
      <c r="C968">
        <v>14</v>
      </c>
      <c r="D968" s="1" t="s">
        <v>30</v>
      </c>
      <c r="E968" s="1" t="s">
        <v>41</v>
      </c>
      <c r="F968" s="1" t="s">
        <v>12</v>
      </c>
      <c r="G968" s="1" t="s">
        <v>32</v>
      </c>
      <c r="H968">
        <v>399</v>
      </c>
      <c r="I968">
        <v>1</v>
      </c>
      <c r="J968">
        <v>399</v>
      </c>
    </row>
    <row r="969" spans="1:10" x14ac:dyDescent="0.25">
      <c r="A969">
        <v>968</v>
      </c>
      <c r="B969" s="2">
        <v>43403</v>
      </c>
      <c r="C969">
        <v>19</v>
      </c>
      <c r="D969" s="1" t="s">
        <v>38</v>
      </c>
      <c r="E969" s="1" t="s">
        <v>23</v>
      </c>
      <c r="F969" s="1" t="s">
        <v>24</v>
      </c>
      <c r="G969" s="1" t="s">
        <v>26</v>
      </c>
      <c r="H969">
        <v>69</v>
      </c>
      <c r="I969">
        <v>3</v>
      </c>
      <c r="J969">
        <v>207</v>
      </c>
    </row>
    <row r="970" spans="1:10" x14ac:dyDescent="0.25">
      <c r="A970">
        <v>969</v>
      </c>
      <c r="B970" s="2">
        <v>43403</v>
      </c>
      <c r="C970">
        <v>7</v>
      </c>
      <c r="D970" s="1" t="s">
        <v>44</v>
      </c>
      <c r="E970" s="1" t="s">
        <v>35</v>
      </c>
      <c r="F970" s="1" t="s">
        <v>20</v>
      </c>
      <c r="G970" s="1" t="s">
        <v>21</v>
      </c>
      <c r="H970">
        <v>159</v>
      </c>
      <c r="I970">
        <v>1</v>
      </c>
      <c r="J970">
        <v>159</v>
      </c>
    </row>
    <row r="971" spans="1:10" x14ac:dyDescent="0.25">
      <c r="A971">
        <v>970</v>
      </c>
      <c r="B971" s="2">
        <v>43404</v>
      </c>
      <c r="C971">
        <v>7</v>
      </c>
      <c r="D971" s="1" t="s">
        <v>44</v>
      </c>
      <c r="E971" s="1" t="s">
        <v>35</v>
      </c>
      <c r="F971" s="1" t="s">
        <v>20</v>
      </c>
      <c r="G971" s="1" t="s">
        <v>32</v>
      </c>
      <c r="H971">
        <v>399</v>
      </c>
      <c r="I971">
        <v>0</v>
      </c>
      <c r="J971">
        <v>0</v>
      </c>
    </row>
    <row r="972" spans="1:10" x14ac:dyDescent="0.25">
      <c r="A972">
        <v>971</v>
      </c>
      <c r="B972" s="2">
        <v>43405</v>
      </c>
      <c r="C972">
        <v>14</v>
      </c>
      <c r="D972" s="1" t="s">
        <v>30</v>
      </c>
      <c r="E972" s="1" t="s">
        <v>41</v>
      </c>
      <c r="F972" s="1" t="s">
        <v>12</v>
      </c>
      <c r="G972" s="1" t="s">
        <v>13</v>
      </c>
      <c r="H972">
        <v>199</v>
      </c>
      <c r="I972">
        <v>0</v>
      </c>
      <c r="J972">
        <v>0</v>
      </c>
    </row>
    <row r="973" spans="1:10" x14ac:dyDescent="0.25">
      <c r="A973">
        <v>972</v>
      </c>
      <c r="B973" s="2">
        <v>43406</v>
      </c>
      <c r="C973">
        <v>19</v>
      </c>
      <c r="D973" s="1" t="s">
        <v>38</v>
      </c>
      <c r="E973" s="1" t="s">
        <v>23</v>
      </c>
      <c r="F973" s="1" t="s">
        <v>24</v>
      </c>
      <c r="G973" s="1" t="s">
        <v>21</v>
      </c>
      <c r="H973">
        <v>159</v>
      </c>
      <c r="I973">
        <v>4</v>
      </c>
      <c r="J973">
        <v>636</v>
      </c>
    </row>
    <row r="974" spans="1:10" x14ac:dyDescent="0.25">
      <c r="A974">
        <v>973</v>
      </c>
      <c r="B974" s="2">
        <v>43407</v>
      </c>
      <c r="C974">
        <v>13</v>
      </c>
      <c r="D974" s="1" t="s">
        <v>27</v>
      </c>
      <c r="E974" s="1" t="s">
        <v>11</v>
      </c>
      <c r="F974" s="1" t="s">
        <v>12</v>
      </c>
      <c r="G974" s="1" t="s">
        <v>32</v>
      </c>
      <c r="H974">
        <v>399</v>
      </c>
      <c r="I974">
        <v>0</v>
      </c>
      <c r="J974">
        <v>0</v>
      </c>
    </row>
    <row r="975" spans="1:10" x14ac:dyDescent="0.25">
      <c r="A975">
        <v>974</v>
      </c>
      <c r="B975" s="2">
        <v>43408</v>
      </c>
      <c r="C975">
        <v>1</v>
      </c>
      <c r="D975" s="1" t="s">
        <v>14</v>
      </c>
      <c r="E975" s="1" t="s">
        <v>15</v>
      </c>
      <c r="F975" s="1" t="s">
        <v>16</v>
      </c>
      <c r="G975" s="1" t="s">
        <v>26</v>
      </c>
      <c r="H975">
        <v>69</v>
      </c>
      <c r="I975">
        <v>7</v>
      </c>
      <c r="J975">
        <v>483</v>
      </c>
    </row>
    <row r="976" spans="1:10" x14ac:dyDescent="0.25">
      <c r="A976">
        <v>975</v>
      </c>
      <c r="B976" s="2">
        <v>43408</v>
      </c>
      <c r="C976">
        <v>13</v>
      </c>
      <c r="D976" s="1" t="s">
        <v>27</v>
      </c>
      <c r="E976" s="1" t="s">
        <v>41</v>
      </c>
      <c r="F976" s="1" t="s">
        <v>12</v>
      </c>
      <c r="G976" s="1" t="s">
        <v>21</v>
      </c>
      <c r="H976">
        <v>159</v>
      </c>
      <c r="I976">
        <v>2</v>
      </c>
      <c r="J976">
        <v>318</v>
      </c>
    </row>
    <row r="977" spans="1:10" x14ac:dyDescent="0.25">
      <c r="A977">
        <v>976</v>
      </c>
      <c r="B977" s="2">
        <v>43408</v>
      </c>
      <c r="C977">
        <v>2</v>
      </c>
      <c r="D977" s="1" t="s">
        <v>45</v>
      </c>
      <c r="E977" s="1" t="s">
        <v>43</v>
      </c>
      <c r="F977" s="1" t="s">
        <v>16</v>
      </c>
      <c r="G977" s="1" t="s">
        <v>26</v>
      </c>
      <c r="H977">
        <v>69</v>
      </c>
      <c r="I977">
        <v>1</v>
      </c>
      <c r="J977">
        <v>69</v>
      </c>
    </row>
    <row r="978" spans="1:10" x14ac:dyDescent="0.25">
      <c r="A978">
        <v>977</v>
      </c>
      <c r="B978" s="2">
        <v>43409</v>
      </c>
      <c r="C978">
        <v>5</v>
      </c>
      <c r="D978" s="1" t="s">
        <v>40</v>
      </c>
      <c r="E978" s="1" t="s">
        <v>43</v>
      </c>
      <c r="F978" s="1" t="s">
        <v>16</v>
      </c>
      <c r="G978" s="1" t="s">
        <v>13</v>
      </c>
      <c r="H978">
        <v>199</v>
      </c>
      <c r="I978">
        <v>9</v>
      </c>
      <c r="J978">
        <v>1791</v>
      </c>
    </row>
    <row r="979" spans="1:10" x14ac:dyDescent="0.25">
      <c r="A979">
        <v>978</v>
      </c>
      <c r="B979" s="2">
        <v>43410</v>
      </c>
      <c r="C979">
        <v>20</v>
      </c>
      <c r="D979" s="1" t="s">
        <v>31</v>
      </c>
      <c r="E979" s="1" t="s">
        <v>23</v>
      </c>
      <c r="F979" s="1" t="s">
        <v>24</v>
      </c>
      <c r="G979" s="1" t="s">
        <v>21</v>
      </c>
      <c r="H979">
        <v>159</v>
      </c>
      <c r="I979">
        <v>0</v>
      </c>
      <c r="J979">
        <v>0</v>
      </c>
    </row>
    <row r="980" spans="1:10" x14ac:dyDescent="0.25">
      <c r="A980">
        <v>979</v>
      </c>
      <c r="B980" s="2">
        <v>43411</v>
      </c>
      <c r="C980">
        <v>16</v>
      </c>
      <c r="D980" s="1" t="s">
        <v>25</v>
      </c>
      <c r="E980" s="1" t="s">
        <v>23</v>
      </c>
      <c r="F980" s="1" t="s">
        <v>24</v>
      </c>
      <c r="G980" s="1" t="s">
        <v>26</v>
      </c>
      <c r="H980">
        <v>69</v>
      </c>
      <c r="I980">
        <v>9</v>
      </c>
      <c r="J980">
        <v>621</v>
      </c>
    </row>
    <row r="981" spans="1:10" x14ac:dyDescent="0.25">
      <c r="A981">
        <v>980</v>
      </c>
      <c r="B981" s="2">
        <v>43411</v>
      </c>
      <c r="C981">
        <v>9</v>
      </c>
      <c r="D981" s="1" t="s">
        <v>18</v>
      </c>
      <c r="E981" s="1" t="s">
        <v>35</v>
      </c>
      <c r="F981" s="1" t="s">
        <v>20</v>
      </c>
      <c r="G981" s="1" t="s">
        <v>17</v>
      </c>
      <c r="H981">
        <v>289</v>
      </c>
      <c r="I981">
        <v>9</v>
      </c>
      <c r="J981">
        <v>2601</v>
      </c>
    </row>
    <row r="982" spans="1:10" x14ac:dyDescent="0.25">
      <c r="A982">
        <v>981</v>
      </c>
      <c r="B982" s="2">
        <v>43411</v>
      </c>
      <c r="C982">
        <v>2</v>
      </c>
      <c r="D982" s="1" t="s">
        <v>45</v>
      </c>
      <c r="E982" s="1" t="s">
        <v>15</v>
      </c>
      <c r="F982" s="1" t="s">
        <v>16</v>
      </c>
      <c r="G982" s="1" t="s">
        <v>32</v>
      </c>
      <c r="H982">
        <v>399</v>
      </c>
      <c r="I982">
        <v>4</v>
      </c>
      <c r="J982">
        <v>1596</v>
      </c>
    </row>
    <row r="983" spans="1:10" x14ac:dyDescent="0.25">
      <c r="A983">
        <v>982</v>
      </c>
      <c r="B983" s="2">
        <v>43412</v>
      </c>
      <c r="C983">
        <v>8</v>
      </c>
      <c r="D983" s="1" t="s">
        <v>34</v>
      </c>
      <c r="E983" s="1" t="s">
        <v>35</v>
      </c>
      <c r="F983" s="1" t="s">
        <v>20</v>
      </c>
      <c r="G983" s="1" t="s">
        <v>13</v>
      </c>
      <c r="H983">
        <v>199</v>
      </c>
      <c r="I983">
        <v>1</v>
      </c>
      <c r="J983">
        <v>199</v>
      </c>
    </row>
    <row r="984" spans="1:10" x14ac:dyDescent="0.25">
      <c r="A984">
        <v>983</v>
      </c>
      <c r="B984" s="2">
        <v>43412</v>
      </c>
      <c r="C984">
        <v>18</v>
      </c>
      <c r="D984" s="1" t="s">
        <v>22</v>
      </c>
      <c r="E984" s="1" t="s">
        <v>29</v>
      </c>
      <c r="F984" s="1" t="s">
        <v>24</v>
      </c>
      <c r="G984" s="1" t="s">
        <v>32</v>
      </c>
      <c r="H984">
        <v>399</v>
      </c>
      <c r="I984">
        <v>9</v>
      </c>
      <c r="J984">
        <v>3591</v>
      </c>
    </row>
    <row r="985" spans="1:10" x14ac:dyDescent="0.25">
      <c r="A985">
        <v>984</v>
      </c>
      <c r="B985" s="2">
        <v>43412</v>
      </c>
      <c r="C985">
        <v>12</v>
      </c>
      <c r="D985" s="1" t="s">
        <v>42</v>
      </c>
      <c r="E985" s="1" t="s">
        <v>11</v>
      </c>
      <c r="F985" s="1" t="s">
        <v>12</v>
      </c>
      <c r="G985" s="1" t="s">
        <v>26</v>
      </c>
      <c r="H985">
        <v>69</v>
      </c>
      <c r="I985">
        <v>0</v>
      </c>
      <c r="J985">
        <v>0</v>
      </c>
    </row>
    <row r="986" spans="1:10" x14ac:dyDescent="0.25">
      <c r="A986">
        <v>985</v>
      </c>
      <c r="B986" s="2">
        <v>43412</v>
      </c>
      <c r="C986">
        <v>10</v>
      </c>
      <c r="D986" s="1" t="s">
        <v>39</v>
      </c>
      <c r="E986" s="1" t="s">
        <v>19</v>
      </c>
      <c r="F986" s="1" t="s">
        <v>20</v>
      </c>
      <c r="G986" s="1" t="s">
        <v>21</v>
      </c>
      <c r="H986">
        <v>159</v>
      </c>
      <c r="I986">
        <v>9</v>
      </c>
      <c r="J986">
        <v>1431</v>
      </c>
    </row>
    <row r="987" spans="1:10" x14ac:dyDescent="0.25">
      <c r="A987">
        <v>986</v>
      </c>
      <c r="B987" s="2">
        <v>43412</v>
      </c>
      <c r="C987">
        <v>9</v>
      </c>
      <c r="D987" s="1" t="s">
        <v>18</v>
      </c>
      <c r="E987" s="1" t="s">
        <v>35</v>
      </c>
      <c r="F987" s="1" t="s">
        <v>20</v>
      </c>
      <c r="G987" s="1" t="s">
        <v>21</v>
      </c>
      <c r="H987">
        <v>159</v>
      </c>
      <c r="I987">
        <v>7</v>
      </c>
      <c r="J987">
        <v>1113</v>
      </c>
    </row>
    <row r="988" spans="1:10" x14ac:dyDescent="0.25">
      <c r="A988">
        <v>987</v>
      </c>
      <c r="B988" s="2">
        <v>43413</v>
      </c>
      <c r="C988">
        <v>8</v>
      </c>
      <c r="D988" s="1" t="s">
        <v>34</v>
      </c>
      <c r="E988" s="1" t="s">
        <v>19</v>
      </c>
      <c r="F988" s="1" t="s">
        <v>20</v>
      </c>
      <c r="G988" s="1" t="s">
        <v>13</v>
      </c>
      <c r="H988">
        <v>199</v>
      </c>
      <c r="I988">
        <v>7</v>
      </c>
      <c r="J988">
        <v>1393</v>
      </c>
    </row>
    <row r="989" spans="1:10" x14ac:dyDescent="0.25">
      <c r="A989">
        <v>988</v>
      </c>
      <c r="B989" s="2">
        <v>43413</v>
      </c>
      <c r="C989">
        <v>17</v>
      </c>
      <c r="D989" s="1" t="s">
        <v>28</v>
      </c>
      <c r="E989" s="1" t="s">
        <v>23</v>
      </c>
      <c r="F989" s="1" t="s">
        <v>24</v>
      </c>
      <c r="G989" s="1" t="s">
        <v>13</v>
      </c>
      <c r="H989">
        <v>199</v>
      </c>
      <c r="I989">
        <v>2</v>
      </c>
      <c r="J989">
        <v>398</v>
      </c>
    </row>
    <row r="990" spans="1:10" x14ac:dyDescent="0.25">
      <c r="A990">
        <v>989</v>
      </c>
      <c r="B990" s="2">
        <v>43413</v>
      </c>
      <c r="C990">
        <v>4</v>
      </c>
      <c r="D990" s="1" t="s">
        <v>37</v>
      </c>
      <c r="E990" s="1" t="s">
        <v>15</v>
      </c>
      <c r="F990" s="1" t="s">
        <v>16</v>
      </c>
      <c r="G990" s="1" t="s">
        <v>21</v>
      </c>
      <c r="H990">
        <v>159</v>
      </c>
      <c r="I990">
        <v>9</v>
      </c>
      <c r="J990">
        <v>1431</v>
      </c>
    </row>
    <row r="991" spans="1:10" x14ac:dyDescent="0.25">
      <c r="A991">
        <v>990</v>
      </c>
      <c r="B991" s="2">
        <v>43413</v>
      </c>
      <c r="C991">
        <v>16</v>
      </c>
      <c r="D991" s="1" t="s">
        <v>25</v>
      </c>
      <c r="E991" s="1" t="s">
        <v>29</v>
      </c>
      <c r="F991" s="1" t="s">
        <v>24</v>
      </c>
      <c r="G991" s="1" t="s">
        <v>17</v>
      </c>
      <c r="H991">
        <v>289</v>
      </c>
      <c r="I991">
        <v>4</v>
      </c>
      <c r="J991">
        <v>1156</v>
      </c>
    </row>
    <row r="992" spans="1:10" x14ac:dyDescent="0.25">
      <c r="A992">
        <v>991</v>
      </c>
      <c r="B992" s="2">
        <v>43413</v>
      </c>
      <c r="C992">
        <v>18</v>
      </c>
      <c r="D992" s="1" t="s">
        <v>22</v>
      </c>
      <c r="E992" s="1" t="s">
        <v>23</v>
      </c>
      <c r="F992" s="1" t="s">
        <v>24</v>
      </c>
      <c r="G992" s="1" t="s">
        <v>32</v>
      </c>
      <c r="H992">
        <v>399</v>
      </c>
      <c r="I992">
        <v>9</v>
      </c>
      <c r="J992">
        <v>3591</v>
      </c>
    </row>
    <row r="993" spans="1:10" x14ac:dyDescent="0.25">
      <c r="A993">
        <v>992</v>
      </c>
      <c r="B993" s="2">
        <v>43414</v>
      </c>
      <c r="C993">
        <v>19</v>
      </c>
      <c r="D993" s="1" t="s">
        <v>38</v>
      </c>
      <c r="E993" s="1" t="s">
        <v>29</v>
      </c>
      <c r="F993" s="1" t="s">
        <v>24</v>
      </c>
      <c r="G993" s="1" t="s">
        <v>13</v>
      </c>
      <c r="H993">
        <v>199</v>
      </c>
      <c r="I993">
        <v>8</v>
      </c>
      <c r="J993">
        <v>1592</v>
      </c>
    </row>
    <row r="994" spans="1:10" x14ac:dyDescent="0.25">
      <c r="A994">
        <v>993</v>
      </c>
      <c r="B994" s="2">
        <v>43414</v>
      </c>
      <c r="C994">
        <v>10</v>
      </c>
      <c r="D994" s="1" t="s">
        <v>39</v>
      </c>
      <c r="E994" s="1" t="s">
        <v>35</v>
      </c>
      <c r="F994" s="1" t="s">
        <v>20</v>
      </c>
      <c r="G994" s="1" t="s">
        <v>32</v>
      </c>
      <c r="H994">
        <v>399</v>
      </c>
      <c r="I994">
        <v>6</v>
      </c>
      <c r="J994">
        <v>2394</v>
      </c>
    </row>
    <row r="995" spans="1:10" x14ac:dyDescent="0.25">
      <c r="A995">
        <v>994</v>
      </c>
      <c r="B995" s="2">
        <v>43414</v>
      </c>
      <c r="C995">
        <v>5</v>
      </c>
      <c r="D995" s="1" t="s">
        <v>40</v>
      </c>
      <c r="E995" s="1" t="s">
        <v>15</v>
      </c>
      <c r="F995" s="1" t="s">
        <v>16</v>
      </c>
      <c r="G995" s="1" t="s">
        <v>21</v>
      </c>
      <c r="H995">
        <v>159</v>
      </c>
      <c r="I995">
        <v>4</v>
      </c>
      <c r="J995">
        <v>636</v>
      </c>
    </row>
    <row r="996" spans="1:10" x14ac:dyDescent="0.25">
      <c r="A996">
        <v>995</v>
      </c>
      <c r="B996" s="2">
        <v>43415</v>
      </c>
      <c r="C996">
        <v>10</v>
      </c>
      <c r="D996" s="1" t="s">
        <v>39</v>
      </c>
      <c r="E996" s="1" t="s">
        <v>19</v>
      </c>
      <c r="F996" s="1" t="s">
        <v>20</v>
      </c>
      <c r="G996" s="1" t="s">
        <v>26</v>
      </c>
      <c r="H996">
        <v>69</v>
      </c>
      <c r="I996">
        <v>1</v>
      </c>
      <c r="J996">
        <v>69</v>
      </c>
    </row>
    <row r="997" spans="1:10" x14ac:dyDescent="0.25">
      <c r="A997">
        <v>996</v>
      </c>
      <c r="B997" s="2">
        <v>43415</v>
      </c>
      <c r="C997">
        <v>7</v>
      </c>
      <c r="D997" s="1" t="s">
        <v>44</v>
      </c>
      <c r="E997" s="1" t="s">
        <v>19</v>
      </c>
      <c r="F997" s="1" t="s">
        <v>20</v>
      </c>
      <c r="G997" s="1" t="s">
        <v>13</v>
      </c>
      <c r="H997">
        <v>199</v>
      </c>
      <c r="I997">
        <v>0</v>
      </c>
      <c r="J997">
        <v>0</v>
      </c>
    </row>
    <row r="998" spans="1:10" x14ac:dyDescent="0.25">
      <c r="A998">
        <v>997</v>
      </c>
      <c r="B998" s="2">
        <v>43415</v>
      </c>
      <c r="C998">
        <v>13</v>
      </c>
      <c r="D998" s="1" t="s">
        <v>27</v>
      </c>
      <c r="E998" s="1" t="s">
        <v>41</v>
      </c>
      <c r="F998" s="1" t="s">
        <v>12</v>
      </c>
      <c r="G998" s="1" t="s">
        <v>13</v>
      </c>
      <c r="H998">
        <v>199</v>
      </c>
      <c r="I998">
        <v>9</v>
      </c>
      <c r="J998">
        <v>1791</v>
      </c>
    </row>
    <row r="999" spans="1:10" x14ac:dyDescent="0.25">
      <c r="A999">
        <v>998</v>
      </c>
      <c r="B999" s="2">
        <v>43416</v>
      </c>
      <c r="C999">
        <v>14</v>
      </c>
      <c r="D999" s="1" t="s">
        <v>30</v>
      </c>
      <c r="E999" s="1" t="s">
        <v>41</v>
      </c>
      <c r="F999" s="1" t="s">
        <v>12</v>
      </c>
      <c r="G999" s="1" t="s">
        <v>13</v>
      </c>
      <c r="H999">
        <v>199</v>
      </c>
      <c r="I999">
        <v>5</v>
      </c>
      <c r="J999">
        <v>995</v>
      </c>
    </row>
    <row r="1000" spans="1:10" x14ac:dyDescent="0.25">
      <c r="A1000">
        <v>999</v>
      </c>
      <c r="B1000" s="2">
        <v>43417</v>
      </c>
      <c r="C1000">
        <v>2</v>
      </c>
      <c r="D1000" s="1" t="s">
        <v>45</v>
      </c>
      <c r="E1000" s="1" t="s">
        <v>15</v>
      </c>
      <c r="F1000" s="1" t="s">
        <v>16</v>
      </c>
      <c r="G1000" s="1" t="s">
        <v>13</v>
      </c>
      <c r="H1000">
        <v>199</v>
      </c>
      <c r="I1000">
        <v>3</v>
      </c>
      <c r="J1000">
        <v>597</v>
      </c>
    </row>
    <row r="1001" spans="1:10" x14ac:dyDescent="0.25">
      <c r="A1001">
        <v>1000</v>
      </c>
      <c r="B1001" s="2">
        <v>43418</v>
      </c>
      <c r="C1001">
        <v>1</v>
      </c>
      <c r="D1001" s="1" t="s">
        <v>14</v>
      </c>
      <c r="E1001" s="1" t="s">
        <v>43</v>
      </c>
      <c r="F1001" s="1" t="s">
        <v>16</v>
      </c>
      <c r="G1001" s="1" t="s">
        <v>13</v>
      </c>
      <c r="H1001">
        <v>199</v>
      </c>
      <c r="I1001">
        <v>7</v>
      </c>
      <c r="J1001">
        <v>1393</v>
      </c>
    </row>
    <row r="1002" spans="1:10" x14ac:dyDescent="0.25">
      <c r="A1002">
        <v>1001</v>
      </c>
      <c r="B1002" s="2">
        <v>43419</v>
      </c>
      <c r="C1002">
        <v>15</v>
      </c>
      <c r="D1002" s="1" t="s">
        <v>46</v>
      </c>
      <c r="E1002" s="1" t="s">
        <v>11</v>
      </c>
      <c r="F1002" s="1" t="s">
        <v>12</v>
      </c>
      <c r="G1002" s="1" t="s">
        <v>17</v>
      </c>
      <c r="H1002">
        <v>289</v>
      </c>
      <c r="I1002">
        <v>7</v>
      </c>
      <c r="J1002">
        <v>2023</v>
      </c>
    </row>
    <row r="1003" spans="1:10" x14ac:dyDescent="0.25">
      <c r="A1003">
        <v>1002</v>
      </c>
      <c r="B1003" s="2">
        <v>43419</v>
      </c>
      <c r="C1003">
        <v>2</v>
      </c>
      <c r="D1003" s="1" t="s">
        <v>45</v>
      </c>
      <c r="E1003" s="1" t="s">
        <v>43</v>
      </c>
      <c r="F1003" s="1" t="s">
        <v>16</v>
      </c>
      <c r="G1003" s="1" t="s">
        <v>13</v>
      </c>
      <c r="H1003">
        <v>199</v>
      </c>
      <c r="I1003">
        <v>2</v>
      </c>
      <c r="J1003">
        <v>398</v>
      </c>
    </row>
    <row r="1004" spans="1:10" x14ac:dyDescent="0.25">
      <c r="A1004">
        <v>1003</v>
      </c>
      <c r="B1004" s="2">
        <v>43419</v>
      </c>
      <c r="C1004">
        <v>10</v>
      </c>
      <c r="D1004" s="1" t="s">
        <v>39</v>
      </c>
      <c r="E1004" s="1" t="s">
        <v>35</v>
      </c>
      <c r="F1004" s="1" t="s">
        <v>20</v>
      </c>
      <c r="G1004" s="1" t="s">
        <v>21</v>
      </c>
      <c r="H1004">
        <v>159</v>
      </c>
      <c r="I1004">
        <v>4</v>
      </c>
      <c r="J1004">
        <v>636</v>
      </c>
    </row>
    <row r="1005" spans="1:10" x14ac:dyDescent="0.25">
      <c r="A1005">
        <v>1004</v>
      </c>
      <c r="B1005" s="2">
        <v>43419</v>
      </c>
      <c r="C1005">
        <v>17</v>
      </c>
      <c r="D1005" s="1" t="s">
        <v>28</v>
      </c>
      <c r="E1005" s="1" t="s">
        <v>23</v>
      </c>
      <c r="F1005" s="1" t="s">
        <v>24</v>
      </c>
      <c r="G1005" s="1" t="s">
        <v>13</v>
      </c>
      <c r="H1005">
        <v>199</v>
      </c>
      <c r="I1005">
        <v>9</v>
      </c>
      <c r="J1005">
        <v>1791</v>
      </c>
    </row>
    <row r="1006" spans="1:10" x14ac:dyDescent="0.25">
      <c r="A1006">
        <v>1005</v>
      </c>
      <c r="B1006" s="2">
        <v>43419</v>
      </c>
      <c r="C1006">
        <v>10</v>
      </c>
      <c r="D1006" s="1" t="s">
        <v>39</v>
      </c>
      <c r="E1006" s="1" t="s">
        <v>19</v>
      </c>
      <c r="F1006" s="1" t="s">
        <v>20</v>
      </c>
      <c r="G1006" s="1" t="s">
        <v>13</v>
      </c>
      <c r="H1006">
        <v>199</v>
      </c>
      <c r="I1006">
        <v>1</v>
      </c>
      <c r="J1006">
        <v>199</v>
      </c>
    </row>
    <row r="1007" spans="1:10" x14ac:dyDescent="0.25">
      <c r="A1007">
        <v>1006</v>
      </c>
      <c r="B1007" s="2">
        <v>43419</v>
      </c>
      <c r="C1007">
        <v>19</v>
      </c>
      <c r="D1007" s="1" t="s">
        <v>38</v>
      </c>
      <c r="E1007" s="1" t="s">
        <v>23</v>
      </c>
      <c r="F1007" s="1" t="s">
        <v>24</v>
      </c>
      <c r="G1007" s="1" t="s">
        <v>21</v>
      </c>
      <c r="H1007">
        <v>159</v>
      </c>
      <c r="I1007">
        <v>2</v>
      </c>
      <c r="J1007">
        <v>318</v>
      </c>
    </row>
    <row r="1008" spans="1:10" x14ac:dyDescent="0.25">
      <c r="A1008">
        <v>1007</v>
      </c>
      <c r="B1008" s="2">
        <v>43419</v>
      </c>
      <c r="C1008">
        <v>6</v>
      </c>
      <c r="D1008" s="1" t="s">
        <v>36</v>
      </c>
      <c r="E1008" s="1" t="s">
        <v>19</v>
      </c>
      <c r="F1008" s="1" t="s">
        <v>20</v>
      </c>
      <c r="G1008" s="1" t="s">
        <v>13</v>
      </c>
      <c r="H1008">
        <v>199</v>
      </c>
      <c r="I1008">
        <v>7</v>
      </c>
      <c r="J1008">
        <v>1393</v>
      </c>
    </row>
    <row r="1009" spans="1:10" x14ac:dyDescent="0.25">
      <c r="A1009">
        <v>1008</v>
      </c>
      <c r="B1009" s="2">
        <v>43420</v>
      </c>
      <c r="C1009">
        <v>15</v>
      </c>
      <c r="D1009" s="1" t="s">
        <v>46</v>
      </c>
      <c r="E1009" s="1" t="s">
        <v>11</v>
      </c>
      <c r="F1009" s="1" t="s">
        <v>12</v>
      </c>
      <c r="G1009" s="1" t="s">
        <v>17</v>
      </c>
      <c r="H1009">
        <v>289</v>
      </c>
      <c r="I1009">
        <v>1</v>
      </c>
      <c r="J1009">
        <v>289</v>
      </c>
    </row>
    <row r="1010" spans="1:10" x14ac:dyDescent="0.25">
      <c r="A1010">
        <v>1009</v>
      </c>
      <c r="B1010" s="2">
        <v>43420</v>
      </c>
      <c r="C1010">
        <v>8</v>
      </c>
      <c r="D1010" s="1" t="s">
        <v>34</v>
      </c>
      <c r="E1010" s="1" t="s">
        <v>19</v>
      </c>
      <c r="F1010" s="1" t="s">
        <v>20</v>
      </c>
      <c r="G1010" s="1" t="s">
        <v>32</v>
      </c>
      <c r="H1010">
        <v>399</v>
      </c>
      <c r="I1010">
        <v>0</v>
      </c>
      <c r="J1010">
        <v>0</v>
      </c>
    </row>
    <row r="1011" spans="1:10" x14ac:dyDescent="0.25">
      <c r="A1011">
        <v>1010</v>
      </c>
      <c r="B1011" s="2">
        <v>43421</v>
      </c>
      <c r="C1011">
        <v>1</v>
      </c>
      <c r="D1011" s="1" t="s">
        <v>14</v>
      </c>
      <c r="E1011" s="1" t="s">
        <v>15</v>
      </c>
      <c r="F1011" s="1" t="s">
        <v>16</v>
      </c>
      <c r="G1011" s="1" t="s">
        <v>13</v>
      </c>
      <c r="H1011">
        <v>199</v>
      </c>
      <c r="I1011">
        <v>2</v>
      </c>
      <c r="J1011">
        <v>398</v>
      </c>
    </row>
    <row r="1012" spans="1:10" x14ac:dyDescent="0.25">
      <c r="A1012">
        <v>1011</v>
      </c>
      <c r="B1012" s="2">
        <v>43421</v>
      </c>
      <c r="C1012">
        <v>7</v>
      </c>
      <c r="D1012" s="1" t="s">
        <v>44</v>
      </c>
      <c r="E1012" s="1" t="s">
        <v>35</v>
      </c>
      <c r="F1012" s="1" t="s">
        <v>20</v>
      </c>
      <c r="G1012" s="1" t="s">
        <v>17</v>
      </c>
      <c r="H1012">
        <v>289</v>
      </c>
      <c r="I1012">
        <v>0</v>
      </c>
      <c r="J1012">
        <v>0</v>
      </c>
    </row>
    <row r="1013" spans="1:10" x14ac:dyDescent="0.25">
      <c r="A1013">
        <v>1012</v>
      </c>
      <c r="B1013" s="2">
        <v>43421</v>
      </c>
      <c r="C1013">
        <v>3</v>
      </c>
      <c r="D1013" s="1" t="s">
        <v>33</v>
      </c>
      <c r="E1013" s="1" t="s">
        <v>43</v>
      </c>
      <c r="F1013" s="1" t="s">
        <v>16</v>
      </c>
      <c r="G1013" s="1" t="s">
        <v>17</v>
      </c>
      <c r="H1013">
        <v>289</v>
      </c>
      <c r="I1013">
        <v>4</v>
      </c>
      <c r="J1013">
        <v>1156</v>
      </c>
    </row>
    <row r="1014" spans="1:10" x14ac:dyDescent="0.25">
      <c r="A1014">
        <v>1013</v>
      </c>
      <c r="B1014" s="2">
        <v>43421</v>
      </c>
      <c r="C1014">
        <v>9</v>
      </c>
      <c r="D1014" s="1" t="s">
        <v>18</v>
      </c>
      <c r="E1014" s="1" t="s">
        <v>35</v>
      </c>
      <c r="F1014" s="1" t="s">
        <v>20</v>
      </c>
      <c r="G1014" s="1" t="s">
        <v>26</v>
      </c>
      <c r="H1014">
        <v>69</v>
      </c>
      <c r="I1014">
        <v>8</v>
      </c>
      <c r="J1014">
        <v>552</v>
      </c>
    </row>
    <row r="1015" spans="1:10" x14ac:dyDescent="0.25">
      <c r="A1015">
        <v>1014</v>
      </c>
      <c r="B1015" s="2">
        <v>43422</v>
      </c>
      <c r="C1015">
        <v>2</v>
      </c>
      <c r="D1015" s="1" t="s">
        <v>45</v>
      </c>
      <c r="E1015" s="1" t="s">
        <v>43</v>
      </c>
      <c r="F1015" s="1" t="s">
        <v>16</v>
      </c>
      <c r="G1015" s="1" t="s">
        <v>13</v>
      </c>
      <c r="H1015">
        <v>199</v>
      </c>
      <c r="I1015">
        <v>6</v>
      </c>
      <c r="J1015">
        <v>1194</v>
      </c>
    </row>
    <row r="1016" spans="1:10" x14ac:dyDescent="0.25">
      <c r="A1016">
        <v>1015</v>
      </c>
      <c r="B1016" s="2">
        <v>43423</v>
      </c>
      <c r="C1016">
        <v>5</v>
      </c>
      <c r="D1016" s="1" t="s">
        <v>40</v>
      </c>
      <c r="E1016" s="1" t="s">
        <v>15</v>
      </c>
      <c r="F1016" s="1" t="s">
        <v>16</v>
      </c>
      <c r="G1016" s="1" t="s">
        <v>32</v>
      </c>
      <c r="H1016">
        <v>399</v>
      </c>
      <c r="I1016">
        <v>2</v>
      </c>
      <c r="J1016">
        <v>798</v>
      </c>
    </row>
    <row r="1017" spans="1:10" x14ac:dyDescent="0.25">
      <c r="A1017">
        <v>1016</v>
      </c>
      <c r="B1017" s="2">
        <v>43423</v>
      </c>
      <c r="C1017">
        <v>6</v>
      </c>
      <c r="D1017" s="1" t="s">
        <v>36</v>
      </c>
      <c r="E1017" s="1" t="s">
        <v>19</v>
      </c>
      <c r="F1017" s="1" t="s">
        <v>20</v>
      </c>
      <c r="G1017" s="1" t="s">
        <v>17</v>
      </c>
      <c r="H1017">
        <v>289</v>
      </c>
      <c r="I1017">
        <v>5</v>
      </c>
      <c r="J1017">
        <v>1445</v>
      </c>
    </row>
    <row r="1018" spans="1:10" x14ac:dyDescent="0.25">
      <c r="A1018">
        <v>1017</v>
      </c>
      <c r="B1018" s="2">
        <v>43423</v>
      </c>
      <c r="C1018">
        <v>12</v>
      </c>
      <c r="D1018" s="1" t="s">
        <v>42</v>
      </c>
      <c r="E1018" s="1" t="s">
        <v>11</v>
      </c>
      <c r="F1018" s="1" t="s">
        <v>12</v>
      </c>
      <c r="G1018" s="1" t="s">
        <v>13</v>
      </c>
      <c r="H1018">
        <v>199</v>
      </c>
      <c r="I1018">
        <v>4</v>
      </c>
      <c r="J1018">
        <v>796</v>
      </c>
    </row>
    <row r="1019" spans="1:10" x14ac:dyDescent="0.25">
      <c r="A1019">
        <v>1018</v>
      </c>
      <c r="B1019" s="2">
        <v>43423</v>
      </c>
      <c r="C1019">
        <v>5</v>
      </c>
      <c r="D1019" s="1" t="s">
        <v>40</v>
      </c>
      <c r="E1019" s="1" t="s">
        <v>43</v>
      </c>
      <c r="F1019" s="1" t="s">
        <v>16</v>
      </c>
      <c r="G1019" s="1" t="s">
        <v>32</v>
      </c>
      <c r="H1019">
        <v>399</v>
      </c>
      <c r="I1019">
        <v>1</v>
      </c>
      <c r="J1019">
        <v>399</v>
      </c>
    </row>
    <row r="1020" spans="1:10" x14ac:dyDescent="0.25">
      <c r="A1020">
        <v>1019</v>
      </c>
      <c r="B1020" s="2">
        <v>43424</v>
      </c>
      <c r="C1020">
        <v>5</v>
      </c>
      <c r="D1020" s="1" t="s">
        <v>40</v>
      </c>
      <c r="E1020" s="1" t="s">
        <v>43</v>
      </c>
      <c r="F1020" s="1" t="s">
        <v>16</v>
      </c>
      <c r="G1020" s="1" t="s">
        <v>32</v>
      </c>
      <c r="H1020">
        <v>399</v>
      </c>
      <c r="I1020">
        <v>8</v>
      </c>
      <c r="J1020">
        <v>3192</v>
      </c>
    </row>
    <row r="1021" spans="1:10" x14ac:dyDescent="0.25">
      <c r="A1021">
        <v>1020</v>
      </c>
      <c r="B1021" s="2">
        <v>43425</v>
      </c>
      <c r="C1021">
        <v>20</v>
      </c>
      <c r="D1021" s="1" t="s">
        <v>31</v>
      </c>
      <c r="E1021" s="1" t="s">
        <v>29</v>
      </c>
      <c r="F1021" s="1" t="s">
        <v>24</v>
      </c>
      <c r="G1021" s="1" t="s">
        <v>26</v>
      </c>
      <c r="H1021">
        <v>69</v>
      </c>
      <c r="I1021">
        <v>9</v>
      </c>
      <c r="J1021">
        <v>621</v>
      </c>
    </row>
    <row r="1022" spans="1:10" x14ac:dyDescent="0.25">
      <c r="A1022">
        <v>1021</v>
      </c>
      <c r="B1022" s="2">
        <v>43425</v>
      </c>
      <c r="C1022">
        <v>16</v>
      </c>
      <c r="D1022" s="1" t="s">
        <v>25</v>
      </c>
      <c r="E1022" s="1" t="s">
        <v>23</v>
      </c>
      <c r="F1022" s="1" t="s">
        <v>24</v>
      </c>
      <c r="G1022" s="1" t="s">
        <v>32</v>
      </c>
      <c r="H1022">
        <v>399</v>
      </c>
      <c r="I1022">
        <v>3</v>
      </c>
      <c r="J1022">
        <v>1197</v>
      </c>
    </row>
    <row r="1023" spans="1:10" x14ac:dyDescent="0.25">
      <c r="A1023">
        <v>1022</v>
      </c>
      <c r="B1023" s="2">
        <v>43426</v>
      </c>
      <c r="C1023">
        <v>1</v>
      </c>
      <c r="D1023" s="1" t="s">
        <v>14</v>
      </c>
      <c r="E1023" s="1" t="s">
        <v>43</v>
      </c>
      <c r="F1023" s="1" t="s">
        <v>16</v>
      </c>
      <c r="G1023" s="1" t="s">
        <v>21</v>
      </c>
      <c r="H1023">
        <v>159</v>
      </c>
      <c r="I1023">
        <v>6</v>
      </c>
      <c r="J1023">
        <v>954</v>
      </c>
    </row>
    <row r="1024" spans="1:10" x14ac:dyDescent="0.25">
      <c r="A1024">
        <v>1023</v>
      </c>
      <c r="B1024" s="2">
        <v>43426</v>
      </c>
      <c r="C1024">
        <v>5</v>
      </c>
      <c r="D1024" s="1" t="s">
        <v>40</v>
      </c>
      <c r="E1024" s="1" t="s">
        <v>43</v>
      </c>
      <c r="F1024" s="1" t="s">
        <v>16</v>
      </c>
      <c r="G1024" s="1" t="s">
        <v>32</v>
      </c>
      <c r="H1024">
        <v>399</v>
      </c>
      <c r="I1024">
        <v>6</v>
      </c>
      <c r="J1024">
        <v>2394</v>
      </c>
    </row>
    <row r="1025" spans="1:10" x14ac:dyDescent="0.25">
      <c r="A1025">
        <v>1024</v>
      </c>
      <c r="B1025" s="2">
        <v>43426</v>
      </c>
      <c r="C1025">
        <v>15</v>
      </c>
      <c r="D1025" s="1" t="s">
        <v>46</v>
      </c>
      <c r="E1025" s="1" t="s">
        <v>41</v>
      </c>
      <c r="F1025" s="1" t="s">
        <v>12</v>
      </c>
      <c r="G1025" s="1" t="s">
        <v>26</v>
      </c>
      <c r="H1025">
        <v>69</v>
      </c>
      <c r="I1025">
        <v>7</v>
      </c>
      <c r="J1025">
        <v>483</v>
      </c>
    </row>
    <row r="1026" spans="1:10" x14ac:dyDescent="0.25">
      <c r="A1026">
        <v>1025</v>
      </c>
      <c r="B1026" s="2">
        <v>43426</v>
      </c>
      <c r="C1026">
        <v>2</v>
      </c>
      <c r="D1026" s="1" t="s">
        <v>45</v>
      </c>
      <c r="E1026" s="1" t="s">
        <v>43</v>
      </c>
      <c r="F1026" s="1" t="s">
        <v>16</v>
      </c>
      <c r="G1026" s="1" t="s">
        <v>13</v>
      </c>
      <c r="H1026">
        <v>199</v>
      </c>
      <c r="I1026">
        <v>9</v>
      </c>
      <c r="J1026">
        <v>1791</v>
      </c>
    </row>
    <row r="1027" spans="1:10" x14ac:dyDescent="0.25">
      <c r="A1027">
        <v>1026</v>
      </c>
      <c r="B1027" s="2">
        <v>43426</v>
      </c>
      <c r="C1027">
        <v>8</v>
      </c>
      <c r="D1027" s="1" t="s">
        <v>34</v>
      </c>
      <c r="E1027" s="1" t="s">
        <v>19</v>
      </c>
      <c r="F1027" s="1" t="s">
        <v>20</v>
      </c>
      <c r="G1027" s="1" t="s">
        <v>21</v>
      </c>
      <c r="H1027">
        <v>159</v>
      </c>
      <c r="I1027">
        <v>6</v>
      </c>
      <c r="J1027">
        <v>954</v>
      </c>
    </row>
    <row r="1028" spans="1:10" x14ac:dyDescent="0.25">
      <c r="A1028">
        <v>1027</v>
      </c>
      <c r="B1028" s="2">
        <v>43426</v>
      </c>
      <c r="C1028">
        <v>3</v>
      </c>
      <c r="D1028" s="1" t="s">
        <v>33</v>
      </c>
      <c r="E1028" s="1" t="s">
        <v>43</v>
      </c>
      <c r="F1028" s="1" t="s">
        <v>16</v>
      </c>
      <c r="G1028" s="1" t="s">
        <v>26</v>
      </c>
      <c r="H1028">
        <v>69</v>
      </c>
      <c r="I1028">
        <v>5</v>
      </c>
      <c r="J1028">
        <v>345</v>
      </c>
    </row>
    <row r="1029" spans="1:10" x14ac:dyDescent="0.25">
      <c r="A1029">
        <v>1028</v>
      </c>
      <c r="B1029" s="2">
        <v>43426</v>
      </c>
      <c r="C1029">
        <v>20</v>
      </c>
      <c r="D1029" s="1" t="s">
        <v>31</v>
      </c>
      <c r="E1029" s="1" t="s">
        <v>23</v>
      </c>
      <c r="F1029" s="1" t="s">
        <v>24</v>
      </c>
      <c r="G1029" s="1" t="s">
        <v>21</v>
      </c>
      <c r="H1029">
        <v>159</v>
      </c>
      <c r="I1029">
        <v>0</v>
      </c>
      <c r="J1029">
        <v>0</v>
      </c>
    </row>
    <row r="1030" spans="1:10" x14ac:dyDescent="0.25">
      <c r="A1030">
        <v>1029</v>
      </c>
      <c r="B1030" s="2">
        <v>43426</v>
      </c>
      <c r="C1030">
        <v>8</v>
      </c>
      <c r="D1030" s="1" t="s">
        <v>34</v>
      </c>
      <c r="E1030" s="1" t="s">
        <v>19</v>
      </c>
      <c r="F1030" s="1" t="s">
        <v>20</v>
      </c>
      <c r="G1030" s="1" t="s">
        <v>32</v>
      </c>
      <c r="H1030">
        <v>399</v>
      </c>
      <c r="I1030">
        <v>9</v>
      </c>
      <c r="J1030">
        <v>3591</v>
      </c>
    </row>
    <row r="1031" spans="1:10" x14ac:dyDescent="0.25">
      <c r="A1031">
        <v>1030</v>
      </c>
      <c r="B1031" s="2">
        <v>43426</v>
      </c>
      <c r="C1031">
        <v>7</v>
      </c>
      <c r="D1031" s="1" t="s">
        <v>44</v>
      </c>
      <c r="E1031" s="1" t="s">
        <v>19</v>
      </c>
      <c r="F1031" s="1" t="s">
        <v>20</v>
      </c>
      <c r="G1031" s="1" t="s">
        <v>32</v>
      </c>
      <c r="H1031">
        <v>399</v>
      </c>
      <c r="I1031">
        <v>5</v>
      </c>
      <c r="J1031">
        <v>1995</v>
      </c>
    </row>
    <row r="1032" spans="1:10" x14ac:dyDescent="0.25">
      <c r="A1032">
        <v>1031</v>
      </c>
      <c r="B1032" s="2">
        <v>43426</v>
      </c>
      <c r="C1032">
        <v>10</v>
      </c>
      <c r="D1032" s="1" t="s">
        <v>39</v>
      </c>
      <c r="E1032" s="1" t="s">
        <v>35</v>
      </c>
      <c r="F1032" s="1" t="s">
        <v>20</v>
      </c>
      <c r="G1032" s="1" t="s">
        <v>32</v>
      </c>
      <c r="H1032">
        <v>399</v>
      </c>
      <c r="I1032">
        <v>0</v>
      </c>
      <c r="J1032">
        <v>0</v>
      </c>
    </row>
    <row r="1033" spans="1:10" x14ac:dyDescent="0.25">
      <c r="A1033">
        <v>1032</v>
      </c>
      <c r="B1033" s="2">
        <v>43426</v>
      </c>
      <c r="C1033">
        <v>13</v>
      </c>
      <c r="D1033" s="1" t="s">
        <v>27</v>
      </c>
      <c r="E1033" s="1" t="s">
        <v>11</v>
      </c>
      <c r="F1033" s="1" t="s">
        <v>12</v>
      </c>
      <c r="G1033" s="1" t="s">
        <v>13</v>
      </c>
      <c r="H1033">
        <v>199</v>
      </c>
      <c r="I1033">
        <v>7</v>
      </c>
      <c r="J1033">
        <v>1393</v>
      </c>
    </row>
    <row r="1034" spans="1:10" x14ac:dyDescent="0.25">
      <c r="A1034">
        <v>1033</v>
      </c>
      <c r="B1034" s="2">
        <v>43427</v>
      </c>
      <c r="C1034">
        <v>15</v>
      </c>
      <c r="D1034" s="1" t="s">
        <v>46</v>
      </c>
      <c r="E1034" s="1" t="s">
        <v>11</v>
      </c>
      <c r="F1034" s="1" t="s">
        <v>12</v>
      </c>
      <c r="G1034" s="1" t="s">
        <v>26</v>
      </c>
      <c r="H1034">
        <v>69</v>
      </c>
      <c r="I1034">
        <v>7</v>
      </c>
      <c r="J1034">
        <v>483</v>
      </c>
    </row>
    <row r="1035" spans="1:10" x14ac:dyDescent="0.25">
      <c r="A1035">
        <v>1034</v>
      </c>
      <c r="B1035" s="2">
        <v>43427</v>
      </c>
      <c r="C1035">
        <v>3</v>
      </c>
      <c r="D1035" s="1" t="s">
        <v>33</v>
      </c>
      <c r="E1035" s="1" t="s">
        <v>15</v>
      </c>
      <c r="F1035" s="1" t="s">
        <v>16</v>
      </c>
      <c r="G1035" s="1" t="s">
        <v>32</v>
      </c>
      <c r="H1035">
        <v>399</v>
      </c>
      <c r="I1035">
        <v>2</v>
      </c>
      <c r="J1035">
        <v>798</v>
      </c>
    </row>
    <row r="1036" spans="1:10" x14ac:dyDescent="0.25">
      <c r="A1036">
        <v>1035</v>
      </c>
      <c r="B1036" s="2">
        <v>43427</v>
      </c>
      <c r="C1036">
        <v>4</v>
      </c>
      <c r="D1036" s="1" t="s">
        <v>37</v>
      </c>
      <c r="E1036" s="1" t="s">
        <v>15</v>
      </c>
      <c r="F1036" s="1" t="s">
        <v>16</v>
      </c>
      <c r="G1036" s="1" t="s">
        <v>32</v>
      </c>
      <c r="H1036">
        <v>399</v>
      </c>
      <c r="I1036">
        <v>6</v>
      </c>
      <c r="J1036">
        <v>2394</v>
      </c>
    </row>
    <row r="1037" spans="1:10" x14ac:dyDescent="0.25">
      <c r="A1037">
        <v>1036</v>
      </c>
      <c r="B1037" s="2">
        <v>43427</v>
      </c>
      <c r="C1037">
        <v>13</v>
      </c>
      <c r="D1037" s="1" t="s">
        <v>27</v>
      </c>
      <c r="E1037" s="1" t="s">
        <v>11</v>
      </c>
      <c r="F1037" s="1" t="s">
        <v>12</v>
      </c>
      <c r="G1037" s="1" t="s">
        <v>32</v>
      </c>
      <c r="H1037">
        <v>399</v>
      </c>
      <c r="I1037">
        <v>9</v>
      </c>
      <c r="J1037">
        <v>3591</v>
      </c>
    </row>
    <row r="1038" spans="1:10" x14ac:dyDescent="0.25">
      <c r="A1038">
        <v>1037</v>
      </c>
      <c r="B1038" s="2">
        <v>43427</v>
      </c>
      <c r="C1038">
        <v>12</v>
      </c>
      <c r="D1038" s="1" t="s">
        <v>42</v>
      </c>
      <c r="E1038" s="1" t="s">
        <v>11</v>
      </c>
      <c r="F1038" s="1" t="s">
        <v>12</v>
      </c>
      <c r="G1038" s="1" t="s">
        <v>17</v>
      </c>
      <c r="H1038">
        <v>289</v>
      </c>
      <c r="I1038">
        <v>6</v>
      </c>
      <c r="J1038">
        <v>1734</v>
      </c>
    </row>
    <row r="1039" spans="1:10" x14ac:dyDescent="0.25">
      <c r="A1039">
        <v>1038</v>
      </c>
      <c r="B1039" s="2">
        <v>43427</v>
      </c>
      <c r="C1039">
        <v>17</v>
      </c>
      <c r="D1039" s="1" t="s">
        <v>28</v>
      </c>
      <c r="E1039" s="1" t="s">
        <v>29</v>
      </c>
      <c r="F1039" s="1" t="s">
        <v>24</v>
      </c>
      <c r="G1039" s="1" t="s">
        <v>13</v>
      </c>
      <c r="H1039">
        <v>199</v>
      </c>
      <c r="I1039">
        <v>3</v>
      </c>
      <c r="J1039">
        <v>597</v>
      </c>
    </row>
    <row r="1040" spans="1:10" x14ac:dyDescent="0.25">
      <c r="A1040">
        <v>1039</v>
      </c>
      <c r="B1040" s="2">
        <v>43428</v>
      </c>
      <c r="C1040">
        <v>13</v>
      </c>
      <c r="D1040" s="1" t="s">
        <v>27</v>
      </c>
      <c r="E1040" s="1" t="s">
        <v>41</v>
      </c>
      <c r="F1040" s="1" t="s">
        <v>12</v>
      </c>
      <c r="G1040" s="1" t="s">
        <v>17</v>
      </c>
      <c r="H1040">
        <v>289</v>
      </c>
      <c r="I1040">
        <v>1</v>
      </c>
      <c r="J1040">
        <v>289</v>
      </c>
    </row>
    <row r="1041" spans="1:10" x14ac:dyDescent="0.25">
      <c r="A1041">
        <v>1040</v>
      </c>
      <c r="B1041" s="2">
        <v>43428</v>
      </c>
      <c r="C1041">
        <v>7</v>
      </c>
      <c r="D1041" s="1" t="s">
        <v>44</v>
      </c>
      <c r="E1041" s="1" t="s">
        <v>35</v>
      </c>
      <c r="F1041" s="1" t="s">
        <v>20</v>
      </c>
      <c r="G1041" s="1" t="s">
        <v>13</v>
      </c>
      <c r="H1041">
        <v>199</v>
      </c>
      <c r="I1041">
        <v>5</v>
      </c>
      <c r="J1041">
        <v>995</v>
      </c>
    </row>
    <row r="1042" spans="1:10" x14ac:dyDescent="0.25">
      <c r="A1042">
        <v>1041</v>
      </c>
      <c r="B1042" s="2">
        <v>43428</v>
      </c>
      <c r="C1042">
        <v>18</v>
      </c>
      <c r="D1042" s="1" t="s">
        <v>22</v>
      </c>
      <c r="E1042" s="1" t="s">
        <v>29</v>
      </c>
      <c r="F1042" s="1" t="s">
        <v>24</v>
      </c>
      <c r="G1042" s="1" t="s">
        <v>21</v>
      </c>
      <c r="H1042">
        <v>159</v>
      </c>
      <c r="I1042">
        <v>2</v>
      </c>
      <c r="J1042">
        <v>318</v>
      </c>
    </row>
    <row r="1043" spans="1:10" x14ac:dyDescent="0.25">
      <c r="A1043">
        <v>1042</v>
      </c>
      <c r="B1043" s="2">
        <v>43428</v>
      </c>
      <c r="C1043">
        <v>14</v>
      </c>
      <c r="D1043" s="1" t="s">
        <v>30</v>
      </c>
      <c r="E1043" s="1" t="s">
        <v>41</v>
      </c>
      <c r="F1043" s="1" t="s">
        <v>12</v>
      </c>
      <c r="G1043" s="1" t="s">
        <v>17</v>
      </c>
      <c r="H1043">
        <v>289</v>
      </c>
      <c r="I1043">
        <v>2</v>
      </c>
      <c r="J1043">
        <v>578</v>
      </c>
    </row>
    <row r="1044" spans="1:10" x14ac:dyDescent="0.25">
      <c r="A1044">
        <v>1043</v>
      </c>
      <c r="B1044" s="2">
        <v>43428</v>
      </c>
      <c r="C1044">
        <v>3</v>
      </c>
      <c r="D1044" s="1" t="s">
        <v>33</v>
      </c>
      <c r="E1044" s="1" t="s">
        <v>43</v>
      </c>
      <c r="F1044" s="1" t="s">
        <v>16</v>
      </c>
      <c r="G1044" s="1" t="s">
        <v>26</v>
      </c>
      <c r="H1044">
        <v>69</v>
      </c>
      <c r="I1044">
        <v>4</v>
      </c>
      <c r="J1044">
        <v>276</v>
      </c>
    </row>
    <row r="1045" spans="1:10" x14ac:dyDescent="0.25">
      <c r="A1045">
        <v>1044</v>
      </c>
      <c r="B1045" s="2">
        <v>43428</v>
      </c>
      <c r="C1045">
        <v>9</v>
      </c>
      <c r="D1045" s="1" t="s">
        <v>18</v>
      </c>
      <c r="E1045" s="1" t="s">
        <v>35</v>
      </c>
      <c r="F1045" s="1" t="s">
        <v>20</v>
      </c>
      <c r="G1045" s="1" t="s">
        <v>32</v>
      </c>
      <c r="H1045">
        <v>399</v>
      </c>
      <c r="I1045">
        <v>1</v>
      </c>
      <c r="J1045">
        <v>399</v>
      </c>
    </row>
    <row r="1046" spans="1:10" x14ac:dyDescent="0.25">
      <c r="A1046">
        <v>1045</v>
      </c>
      <c r="B1046" s="2">
        <v>43428</v>
      </c>
      <c r="C1046">
        <v>11</v>
      </c>
      <c r="D1046" s="1" t="s">
        <v>10</v>
      </c>
      <c r="E1046" s="1" t="s">
        <v>41</v>
      </c>
      <c r="F1046" s="1" t="s">
        <v>12</v>
      </c>
      <c r="G1046" s="1" t="s">
        <v>32</v>
      </c>
      <c r="H1046">
        <v>399</v>
      </c>
      <c r="I1046">
        <v>3</v>
      </c>
      <c r="J1046">
        <v>1197</v>
      </c>
    </row>
    <row r="1047" spans="1:10" x14ac:dyDescent="0.25">
      <c r="A1047">
        <v>1046</v>
      </c>
      <c r="B1047" s="2">
        <v>43429</v>
      </c>
      <c r="C1047">
        <v>4</v>
      </c>
      <c r="D1047" s="1" t="s">
        <v>37</v>
      </c>
      <c r="E1047" s="1" t="s">
        <v>43</v>
      </c>
      <c r="F1047" s="1" t="s">
        <v>16</v>
      </c>
      <c r="G1047" s="1" t="s">
        <v>32</v>
      </c>
      <c r="H1047">
        <v>399</v>
      </c>
      <c r="I1047">
        <v>5</v>
      </c>
      <c r="J1047">
        <v>1995</v>
      </c>
    </row>
    <row r="1048" spans="1:10" x14ac:dyDescent="0.25">
      <c r="A1048">
        <v>1047</v>
      </c>
      <c r="B1048" s="2">
        <v>43430</v>
      </c>
      <c r="C1048">
        <v>6</v>
      </c>
      <c r="D1048" s="1" t="s">
        <v>36</v>
      </c>
      <c r="E1048" s="1" t="s">
        <v>35</v>
      </c>
      <c r="F1048" s="1" t="s">
        <v>20</v>
      </c>
      <c r="G1048" s="1" t="s">
        <v>17</v>
      </c>
      <c r="H1048">
        <v>289</v>
      </c>
      <c r="I1048">
        <v>1</v>
      </c>
      <c r="J1048">
        <v>289</v>
      </c>
    </row>
    <row r="1049" spans="1:10" x14ac:dyDescent="0.25">
      <c r="A1049">
        <v>1048</v>
      </c>
      <c r="B1049" s="2">
        <v>43430</v>
      </c>
      <c r="C1049">
        <v>13</v>
      </c>
      <c r="D1049" s="1" t="s">
        <v>27</v>
      </c>
      <c r="E1049" s="1" t="s">
        <v>41</v>
      </c>
      <c r="F1049" s="1" t="s">
        <v>12</v>
      </c>
      <c r="G1049" s="1" t="s">
        <v>17</v>
      </c>
      <c r="H1049">
        <v>289</v>
      </c>
      <c r="I1049">
        <v>7</v>
      </c>
      <c r="J1049">
        <v>2023</v>
      </c>
    </row>
    <row r="1050" spans="1:10" x14ac:dyDescent="0.25">
      <c r="A1050">
        <v>1049</v>
      </c>
      <c r="B1050" s="2">
        <v>43431</v>
      </c>
      <c r="C1050">
        <v>2</v>
      </c>
      <c r="D1050" s="1" t="s">
        <v>45</v>
      </c>
      <c r="E1050" s="1" t="s">
        <v>15</v>
      </c>
      <c r="F1050" s="1" t="s">
        <v>16</v>
      </c>
      <c r="G1050" s="1" t="s">
        <v>32</v>
      </c>
      <c r="H1050">
        <v>399</v>
      </c>
      <c r="I1050">
        <v>8</v>
      </c>
      <c r="J1050">
        <v>3192</v>
      </c>
    </row>
    <row r="1051" spans="1:10" x14ac:dyDescent="0.25">
      <c r="A1051">
        <v>1050</v>
      </c>
      <c r="B1051" s="2">
        <v>43431</v>
      </c>
      <c r="C1051">
        <v>4</v>
      </c>
      <c r="D1051" s="1" t="s">
        <v>37</v>
      </c>
      <c r="E1051" s="1" t="s">
        <v>43</v>
      </c>
      <c r="F1051" s="1" t="s">
        <v>16</v>
      </c>
      <c r="G1051" s="1" t="s">
        <v>32</v>
      </c>
      <c r="H1051">
        <v>399</v>
      </c>
      <c r="I1051">
        <v>6</v>
      </c>
      <c r="J1051">
        <v>2394</v>
      </c>
    </row>
    <row r="1052" spans="1:10" x14ac:dyDescent="0.25">
      <c r="A1052">
        <v>1051</v>
      </c>
      <c r="B1052" s="2">
        <v>43431</v>
      </c>
      <c r="C1052">
        <v>1</v>
      </c>
      <c r="D1052" s="1" t="s">
        <v>14</v>
      </c>
      <c r="E1052" s="1" t="s">
        <v>43</v>
      </c>
      <c r="F1052" s="1" t="s">
        <v>16</v>
      </c>
      <c r="G1052" s="1" t="s">
        <v>26</v>
      </c>
      <c r="H1052">
        <v>69</v>
      </c>
      <c r="I1052">
        <v>9</v>
      </c>
      <c r="J1052">
        <v>621</v>
      </c>
    </row>
    <row r="1053" spans="1:10" x14ac:dyDescent="0.25">
      <c r="A1053">
        <v>1052</v>
      </c>
      <c r="B1053" s="2">
        <v>43432</v>
      </c>
      <c r="C1053">
        <v>10</v>
      </c>
      <c r="D1053" s="1" t="s">
        <v>39</v>
      </c>
      <c r="E1053" s="1" t="s">
        <v>19</v>
      </c>
      <c r="F1053" s="1" t="s">
        <v>20</v>
      </c>
      <c r="G1053" s="1" t="s">
        <v>26</v>
      </c>
      <c r="H1053">
        <v>69</v>
      </c>
      <c r="I1053">
        <v>7</v>
      </c>
      <c r="J1053">
        <v>483</v>
      </c>
    </row>
    <row r="1054" spans="1:10" x14ac:dyDescent="0.25">
      <c r="A1054">
        <v>1053</v>
      </c>
      <c r="B1054" s="2">
        <v>43432</v>
      </c>
      <c r="C1054">
        <v>15</v>
      </c>
      <c r="D1054" s="1" t="s">
        <v>46</v>
      </c>
      <c r="E1054" s="1" t="s">
        <v>41</v>
      </c>
      <c r="F1054" s="1" t="s">
        <v>12</v>
      </c>
      <c r="G1054" s="1" t="s">
        <v>26</v>
      </c>
      <c r="H1054">
        <v>69</v>
      </c>
      <c r="I1054">
        <v>1</v>
      </c>
      <c r="J1054">
        <v>69</v>
      </c>
    </row>
    <row r="1055" spans="1:10" x14ac:dyDescent="0.25">
      <c r="A1055">
        <v>1054</v>
      </c>
      <c r="B1055" s="2">
        <v>43432</v>
      </c>
      <c r="C1055">
        <v>6</v>
      </c>
      <c r="D1055" s="1" t="s">
        <v>36</v>
      </c>
      <c r="E1055" s="1" t="s">
        <v>35</v>
      </c>
      <c r="F1055" s="1" t="s">
        <v>20</v>
      </c>
      <c r="G1055" s="1" t="s">
        <v>21</v>
      </c>
      <c r="H1055">
        <v>159</v>
      </c>
      <c r="I1055">
        <v>2</v>
      </c>
      <c r="J1055">
        <v>318</v>
      </c>
    </row>
    <row r="1056" spans="1:10" x14ac:dyDescent="0.25">
      <c r="A1056">
        <v>1055</v>
      </c>
      <c r="B1056" s="2">
        <v>43432</v>
      </c>
      <c r="C1056">
        <v>11</v>
      </c>
      <c r="D1056" s="1" t="s">
        <v>10</v>
      </c>
      <c r="E1056" s="1" t="s">
        <v>11</v>
      </c>
      <c r="F1056" s="1" t="s">
        <v>12</v>
      </c>
      <c r="G1056" s="1" t="s">
        <v>17</v>
      </c>
      <c r="H1056">
        <v>289</v>
      </c>
      <c r="I1056">
        <v>8</v>
      </c>
      <c r="J1056">
        <v>2312</v>
      </c>
    </row>
    <row r="1057" spans="1:10" x14ac:dyDescent="0.25">
      <c r="A1057">
        <v>1056</v>
      </c>
      <c r="B1057" s="2">
        <v>43432</v>
      </c>
      <c r="C1057">
        <v>4</v>
      </c>
      <c r="D1057" s="1" t="s">
        <v>37</v>
      </c>
      <c r="E1057" s="1" t="s">
        <v>15</v>
      </c>
      <c r="F1057" s="1" t="s">
        <v>16</v>
      </c>
      <c r="G1057" s="1" t="s">
        <v>17</v>
      </c>
      <c r="H1057">
        <v>289</v>
      </c>
      <c r="I1057">
        <v>7</v>
      </c>
      <c r="J1057">
        <v>2023</v>
      </c>
    </row>
    <row r="1058" spans="1:10" x14ac:dyDescent="0.25">
      <c r="A1058">
        <v>1057</v>
      </c>
      <c r="B1058" s="2">
        <v>43433</v>
      </c>
      <c r="C1058">
        <v>8</v>
      </c>
      <c r="D1058" s="1" t="s">
        <v>34</v>
      </c>
      <c r="E1058" s="1" t="s">
        <v>35</v>
      </c>
      <c r="F1058" s="1" t="s">
        <v>20</v>
      </c>
      <c r="G1058" s="1" t="s">
        <v>13</v>
      </c>
      <c r="H1058">
        <v>199</v>
      </c>
      <c r="I1058">
        <v>3</v>
      </c>
      <c r="J1058">
        <v>597</v>
      </c>
    </row>
    <row r="1059" spans="1:10" x14ac:dyDescent="0.25">
      <c r="A1059">
        <v>1058</v>
      </c>
      <c r="B1059" s="2">
        <v>43433</v>
      </c>
      <c r="C1059">
        <v>9</v>
      </c>
      <c r="D1059" s="1" t="s">
        <v>18</v>
      </c>
      <c r="E1059" s="1" t="s">
        <v>35</v>
      </c>
      <c r="F1059" s="1" t="s">
        <v>20</v>
      </c>
      <c r="G1059" s="1" t="s">
        <v>32</v>
      </c>
      <c r="H1059">
        <v>399</v>
      </c>
      <c r="I1059">
        <v>6</v>
      </c>
      <c r="J1059">
        <v>2394</v>
      </c>
    </row>
    <row r="1060" spans="1:10" x14ac:dyDescent="0.25">
      <c r="A1060">
        <v>1059</v>
      </c>
      <c r="B1060" s="2">
        <v>43433</v>
      </c>
      <c r="C1060">
        <v>12</v>
      </c>
      <c r="D1060" s="1" t="s">
        <v>42</v>
      </c>
      <c r="E1060" s="1" t="s">
        <v>41</v>
      </c>
      <c r="F1060" s="1" t="s">
        <v>12</v>
      </c>
      <c r="G1060" s="1" t="s">
        <v>17</v>
      </c>
      <c r="H1060">
        <v>289</v>
      </c>
      <c r="I1060">
        <v>9</v>
      </c>
      <c r="J1060">
        <v>2601</v>
      </c>
    </row>
    <row r="1061" spans="1:10" x14ac:dyDescent="0.25">
      <c r="A1061">
        <v>1060</v>
      </c>
      <c r="B1061" s="2">
        <v>43434</v>
      </c>
      <c r="C1061">
        <v>2</v>
      </c>
      <c r="D1061" s="1" t="s">
        <v>45</v>
      </c>
      <c r="E1061" s="1" t="s">
        <v>15</v>
      </c>
      <c r="F1061" s="1" t="s">
        <v>16</v>
      </c>
      <c r="G1061" s="1" t="s">
        <v>21</v>
      </c>
      <c r="H1061">
        <v>159</v>
      </c>
      <c r="I1061">
        <v>1</v>
      </c>
      <c r="J1061">
        <v>159</v>
      </c>
    </row>
    <row r="1062" spans="1:10" x14ac:dyDescent="0.25">
      <c r="A1062">
        <v>1061</v>
      </c>
      <c r="B1062" s="2">
        <v>43435</v>
      </c>
      <c r="C1062">
        <v>8</v>
      </c>
      <c r="D1062" s="1" t="s">
        <v>34</v>
      </c>
      <c r="E1062" s="1" t="s">
        <v>35</v>
      </c>
      <c r="F1062" s="1" t="s">
        <v>20</v>
      </c>
      <c r="G1062" s="1" t="s">
        <v>32</v>
      </c>
      <c r="H1062">
        <v>399</v>
      </c>
      <c r="I1062">
        <v>5</v>
      </c>
      <c r="J1062">
        <v>1995</v>
      </c>
    </row>
    <row r="1063" spans="1:10" x14ac:dyDescent="0.25">
      <c r="A1063">
        <v>1062</v>
      </c>
      <c r="B1063" s="2">
        <v>43435</v>
      </c>
      <c r="C1063">
        <v>17</v>
      </c>
      <c r="D1063" s="1" t="s">
        <v>28</v>
      </c>
      <c r="E1063" s="1" t="s">
        <v>29</v>
      </c>
      <c r="F1063" s="1" t="s">
        <v>24</v>
      </c>
      <c r="G1063" s="1" t="s">
        <v>17</v>
      </c>
      <c r="H1063">
        <v>289</v>
      </c>
      <c r="I1063">
        <v>0</v>
      </c>
      <c r="J1063">
        <v>0</v>
      </c>
    </row>
    <row r="1064" spans="1:10" x14ac:dyDescent="0.25">
      <c r="A1064">
        <v>1063</v>
      </c>
      <c r="B1064" s="2">
        <v>43436</v>
      </c>
      <c r="C1064">
        <v>7</v>
      </c>
      <c r="D1064" s="1" t="s">
        <v>44</v>
      </c>
      <c r="E1064" s="1" t="s">
        <v>35</v>
      </c>
      <c r="F1064" s="1" t="s">
        <v>20</v>
      </c>
      <c r="G1064" s="1" t="s">
        <v>32</v>
      </c>
      <c r="H1064">
        <v>399</v>
      </c>
      <c r="I1064">
        <v>3</v>
      </c>
      <c r="J1064">
        <v>1197</v>
      </c>
    </row>
    <row r="1065" spans="1:10" x14ac:dyDescent="0.25">
      <c r="A1065">
        <v>1064</v>
      </c>
      <c r="B1065" s="2">
        <v>43437</v>
      </c>
      <c r="C1065">
        <v>1</v>
      </c>
      <c r="D1065" s="1" t="s">
        <v>14</v>
      </c>
      <c r="E1065" s="1" t="s">
        <v>43</v>
      </c>
      <c r="F1065" s="1" t="s">
        <v>16</v>
      </c>
      <c r="G1065" s="1" t="s">
        <v>17</v>
      </c>
      <c r="H1065">
        <v>289</v>
      </c>
      <c r="I1065">
        <v>4</v>
      </c>
      <c r="J1065">
        <v>1156</v>
      </c>
    </row>
    <row r="1066" spans="1:10" x14ac:dyDescent="0.25">
      <c r="A1066">
        <v>1065</v>
      </c>
      <c r="B1066" s="2">
        <v>43437</v>
      </c>
      <c r="C1066">
        <v>19</v>
      </c>
      <c r="D1066" s="1" t="s">
        <v>38</v>
      </c>
      <c r="E1066" s="1" t="s">
        <v>23</v>
      </c>
      <c r="F1066" s="1" t="s">
        <v>24</v>
      </c>
      <c r="G1066" s="1" t="s">
        <v>17</v>
      </c>
      <c r="H1066">
        <v>289</v>
      </c>
      <c r="I1066">
        <v>2</v>
      </c>
      <c r="J1066">
        <v>578</v>
      </c>
    </row>
    <row r="1067" spans="1:10" x14ac:dyDescent="0.25">
      <c r="A1067">
        <v>1066</v>
      </c>
      <c r="B1067" s="2">
        <v>43438</v>
      </c>
      <c r="C1067">
        <v>2</v>
      </c>
      <c r="D1067" s="1" t="s">
        <v>45</v>
      </c>
      <c r="E1067" s="1" t="s">
        <v>15</v>
      </c>
      <c r="F1067" s="1" t="s">
        <v>16</v>
      </c>
      <c r="G1067" s="1" t="s">
        <v>26</v>
      </c>
      <c r="H1067">
        <v>69</v>
      </c>
      <c r="I1067">
        <v>7</v>
      </c>
      <c r="J1067">
        <v>483</v>
      </c>
    </row>
    <row r="1068" spans="1:10" x14ac:dyDescent="0.25">
      <c r="A1068">
        <v>1067</v>
      </c>
      <c r="B1068" s="2">
        <v>43438</v>
      </c>
      <c r="C1068">
        <v>16</v>
      </c>
      <c r="D1068" s="1" t="s">
        <v>25</v>
      </c>
      <c r="E1068" s="1" t="s">
        <v>29</v>
      </c>
      <c r="F1068" s="1" t="s">
        <v>24</v>
      </c>
      <c r="G1068" s="1" t="s">
        <v>32</v>
      </c>
      <c r="H1068">
        <v>399</v>
      </c>
      <c r="I1068">
        <v>0</v>
      </c>
      <c r="J1068">
        <v>0</v>
      </c>
    </row>
    <row r="1069" spans="1:10" x14ac:dyDescent="0.25">
      <c r="A1069">
        <v>1068</v>
      </c>
      <c r="B1069" s="2">
        <v>43439</v>
      </c>
      <c r="C1069">
        <v>5</v>
      </c>
      <c r="D1069" s="1" t="s">
        <v>40</v>
      </c>
      <c r="E1069" s="1" t="s">
        <v>43</v>
      </c>
      <c r="F1069" s="1" t="s">
        <v>16</v>
      </c>
      <c r="G1069" s="1" t="s">
        <v>32</v>
      </c>
      <c r="H1069">
        <v>399</v>
      </c>
      <c r="I1069">
        <v>4</v>
      </c>
      <c r="J1069">
        <v>1596</v>
      </c>
    </row>
    <row r="1070" spans="1:10" x14ac:dyDescent="0.25">
      <c r="A1070">
        <v>1069</v>
      </c>
      <c r="B1070" s="2">
        <v>43440</v>
      </c>
      <c r="C1070">
        <v>4</v>
      </c>
      <c r="D1070" s="1" t="s">
        <v>37</v>
      </c>
      <c r="E1070" s="1" t="s">
        <v>15</v>
      </c>
      <c r="F1070" s="1" t="s">
        <v>16</v>
      </c>
      <c r="G1070" s="1" t="s">
        <v>13</v>
      </c>
      <c r="H1070">
        <v>199</v>
      </c>
      <c r="I1070">
        <v>2</v>
      </c>
      <c r="J1070">
        <v>398</v>
      </c>
    </row>
    <row r="1071" spans="1:10" x14ac:dyDescent="0.25">
      <c r="A1071">
        <v>1070</v>
      </c>
      <c r="B1071" s="2">
        <v>43440</v>
      </c>
      <c r="C1071">
        <v>14</v>
      </c>
      <c r="D1071" s="1" t="s">
        <v>30</v>
      </c>
      <c r="E1071" s="1" t="s">
        <v>11</v>
      </c>
      <c r="F1071" s="1" t="s">
        <v>12</v>
      </c>
      <c r="G1071" s="1" t="s">
        <v>13</v>
      </c>
      <c r="H1071">
        <v>199</v>
      </c>
      <c r="I1071">
        <v>3</v>
      </c>
      <c r="J1071">
        <v>597</v>
      </c>
    </row>
    <row r="1072" spans="1:10" x14ac:dyDescent="0.25">
      <c r="A1072">
        <v>1071</v>
      </c>
      <c r="B1072" s="2">
        <v>43440</v>
      </c>
      <c r="C1072">
        <v>4</v>
      </c>
      <c r="D1072" s="1" t="s">
        <v>37</v>
      </c>
      <c r="E1072" s="1" t="s">
        <v>15</v>
      </c>
      <c r="F1072" s="1" t="s">
        <v>16</v>
      </c>
      <c r="G1072" s="1" t="s">
        <v>13</v>
      </c>
      <c r="H1072">
        <v>199</v>
      </c>
      <c r="I1072">
        <v>5</v>
      </c>
      <c r="J1072">
        <v>995</v>
      </c>
    </row>
    <row r="1073" spans="1:10" x14ac:dyDescent="0.25">
      <c r="A1073">
        <v>1072</v>
      </c>
      <c r="B1073" s="2">
        <v>43441</v>
      </c>
      <c r="C1073">
        <v>4</v>
      </c>
      <c r="D1073" s="1" t="s">
        <v>37</v>
      </c>
      <c r="E1073" s="1" t="s">
        <v>15</v>
      </c>
      <c r="F1073" s="1" t="s">
        <v>16</v>
      </c>
      <c r="G1073" s="1" t="s">
        <v>26</v>
      </c>
      <c r="H1073">
        <v>69</v>
      </c>
      <c r="I1073">
        <v>7</v>
      </c>
      <c r="J1073">
        <v>483</v>
      </c>
    </row>
    <row r="1074" spans="1:10" x14ac:dyDescent="0.25">
      <c r="A1074">
        <v>1073</v>
      </c>
      <c r="B1074" s="2">
        <v>43441</v>
      </c>
      <c r="C1074">
        <v>9</v>
      </c>
      <c r="D1074" s="1" t="s">
        <v>18</v>
      </c>
      <c r="E1074" s="1" t="s">
        <v>19</v>
      </c>
      <c r="F1074" s="1" t="s">
        <v>20</v>
      </c>
      <c r="G1074" s="1" t="s">
        <v>17</v>
      </c>
      <c r="H1074">
        <v>289</v>
      </c>
      <c r="I1074">
        <v>7</v>
      </c>
      <c r="J1074">
        <v>2023</v>
      </c>
    </row>
    <row r="1075" spans="1:10" x14ac:dyDescent="0.25">
      <c r="A1075">
        <v>1074</v>
      </c>
      <c r="B1075" s="2">
        <v>43442</v>
      </c>
      <c r="C1075">
        <v>10</v>
      </c>
      <c r="D1075" s="1" t="s">
        <v>39</v>
      </c>
      <c r="E1075" s="1" t="s">
        <v>19</v>
      </c>
      <c r="F1075" s="1" t="s">
        <v>20</v>
      </c>
      <c r="G1075" s="1" t="s">
        <v>26</v>
      </c>
      <c r="H1075">
        <v>69</v>
      </c>
      <c r="I1075">
        <v>7</v>
      </c>
      <c r="J1075">
        <v>483</v>
      </c>
    </row>
    <row r="1076" spans="1:10" x14ac:dyDescent="0.25">
      <c r="A1076">
        <v>1075</v>
      </c>
      <c r="B1076" s="2">
        <v>43442</v>
      </c>
      <c r="C1076">
        <v>4</v>
      </c>
      <c r="D1076" s="1" t="s">
        <v>37</v>
      </c>
      <c r="E1076" s="1" t="s">
        <v>15</v>
      </c>
      <c r="F1076" s="1" t="s">
        <v>16</v>
      </c>
      <c r="G1076" s="1" t="s">
        <v>26</v>
      </c>
      <c r="H1076">
        <v>69</v>
      </c>
      <c r="I1076">
        <v>5</v>
      </c>
      <c r="J1076">
        <v>345</v>
      </c>
    </row>
    <row r="1077" spans="1:10" x14ac:dyDescent="0.25">
      <c r="A1077">
        <v>1076</v>
      </c>
      <c r="B1077" s="2">
        <v>43443</v>
      </c>
      <c r="C1077">
        <v>20</v>
      </c>
      <c r="D1077" s="1" t="s">
        <v>31</v>
      </c>
      <c r="E1077" s="1" t="s">
        <v>23</v>
      </c>
      <c r="F1077" s="1" t="s">
        <v>24</v>
      </c>
      <c r="G1077" s="1" t="s">
        <v>17</v>
      </c>
      <c r="H1077">
        <v>289</v>
      </c>
      <c r="I1077">
        <v>8</v>
      </c>
      <c r="J1077">
        <v>2312</v>
      </c>
    </row>
    <row r="1078" spans="1:10" x14ac:dyDescent="0.25">
      <c r="A1078">
        <v>1077</v>
      </c>
      <c r="B1078" s="2">
        <v>43444</v>
      </c>
      <c r="C1078">
        <v>11</v>
      </c>
      <c r="D1078" s="1" t="s">
        <v>10</v>
      </c>
      <c r="E1078" s="1" t="s">
        <v>11</v>
      </c>
      <c r="F1078" s="1" t="s">
        <v>12</v>
      </c>
      <c r="G1078" s="1" t="s">
        <v>17</v>
      </c>
      <c r="H1078">
        <v>289</v>
      </c>
      <c r="I1078">
        <v>9</v>
      </c>
      <c r="J1078">
        <v>2601</v>
      </c>
    </row>
    <row r="1079" spans="1:10" x14ac:dyDescent="0.25">
      <c r="A1079">
        <v>1078</v>
      </c>
      <c r="B1079" s="2">
        <v>43445</v>
      </c>
      <c r="C1079">
        <v>13</v>
      </c>
      <c r="D1079" s="1" t="s">
        <v>27</v>
      </c>
      <c r="E1079" s="1" t="s">
        <v>11</v>
      </c>
      <c r="F1079" s="1" t="s">
        <v>12</v>
      </c>
      <c r="G1079" s="1" t="s">
        <v>17</v>
      </c>
      <c r="H1079">
        <v>289</v>
      </c>
      <c r="I1079">
        <v>8</v>
      </c>
      <c r="J1079">
        <v>2312</v>
      </c>
    </row>
    <row r="1080" spans="1:10" x14ac:dyDescent="0.25">
      <c r="A1080">
        <v>1079</v>
      </c>
      <c r="B1080" s="2">
        <v>43445</v>
      </c>
      <c r="C1080">
        <v>10</v>
      </c>
      <c r="D1080" s="1" t="s">
        <v>39</v>
      </c>
      <c r="E1080" s="1" t="s">
        <v>19</v>
      </c>
      <c r="F1080" s="1" t="s">
        <v>20</v>
      </c>
      <c r="G1080" s="1" t="s">
        <v>26</v>
      </c>
      <c r="H1080">
        <v>69</v>
      </c>
      <c r="I1080">
        <v>6</v>
      </c>
      <c r="J1080">
        <v>414</v>
      </c>
    </row>
    <row r="1081" spans="1:10" x14ac:dyDescent="0.25">
      <c r="A1081">
        <v>1080</v>
      </c>
      <c r="B1081" s="2">
        <v>43445</v>
      </c>
      <c r="C1081">
        <v>19</v>
      </c>
      <c r="D1081" s="1" t="s">
        <v>38</v>
      </c>
      <c r="E1081" s="1" t="s">
        <v>23</v>
      </c>
      <c r="F1081" s="1" t="s">
        <v>24</v>
      </c>
      <c r="G1081" s="1" t="s">
        <v>17</v>
      </c>
      <c r="H1081">
        <v>289</v>
      </c>
      <c r="I1081">
        <v>9</v>
      </c>
      <c r="J1081">
        <v>2601</v>
      </c>
    </row>
    <row r="1082" spans="1:10" x14ac:dyDescent="0.25">
      <c r="A1082">
        <v>1081</v>
      </c>
      <c r="B1082" s="2">
        <v>43446</v>
      </c>
      <c r="C1082">
        <v>14</v>
      </c>
      <c r="D1082" s="1" t="s">
        <v>30</v>
      </c>
      <c r="E1082" s="1" t="s">
        <v>11</v>
      </c>
      <c r="F1082" s="1" t="s">
        <v>12</v>
      </c>
      <c r="G1082" s="1" t="s">
        <v>17</v>
      </c>
      <c r="H1082">
        <v>289</v>
      </c>
      <c r="I1082">
        <v>5</v>
      </c>
      <c r="J1082">
        <v>1445</v>
      </c>
    </row>
    <row r="1083" spans="1:10" x14ac:dyDescent="0.25">
      <c r="A1083">
        <v>1082</v>
      </c>
      <c r="B1083" s="2">
        <v>43447</v>
      </c>
      <c r="C1083">
        <v>16</v>
      </c>
      <c r="D1083" s="1" t="s">
        <v>25</v>
      </c>
      <c r="E1083" s="1" t="s">
        <v>23</v>
      </c>
      <c r="F1083" s="1" t="s">
        <v>24</v>
      </c>
      <c r="G1083" s="1" t="s">
        <v>21</v>
      </c>
      <c r="H1083">
        <v>159</v>
      </c>
      <c r="I1083">
        <v>0</v>
      </c>
      <c r="J1083">
        <v>0</v>
      </c>
    </row>
    <row r="1084" spans="1:10" x14ac:dyDescent="0.25">
      <c r="A1084">
        <v>1083</v>
      </c>
      <c r="B1084" s="2">
        <v>43447</v>
      </c>
      <c r="C1084">
        <v>13</v>
      </c>
      <c r="D1084" s="1" t="s">
        <v>27</v>
      </c>
      <c r="E1084" s="1" t="s">
        <v>11</v>
      </c>
      <c r="F1084" s="1" t="s">
        <v>12</v>
      </c>
      <c r="G1084" s="1" t="s">
        <v>17</v>
      </c>
      <c r="H1084">
        <v>289</v>
      </c>
      <c r="I1084">
        <v>5</v>
      </c>
      <c r="J1084">
        <v>1445</v>
      </c>
    </row>
    <row r="1085" spans="1:10" x14ac:dyDescent="0.25">
      <c r="A1085">
        <v>1084</v>
      </c>
      <c r="B1085" s="2">
        <v>43447</v>
      </c>
      <c r="C1085">
        <v>2</v>
      </c>
      <c r="D1085" s="1" t="s">
        <v>45</v>
      </c>
      <c r="E1085" s="1" t="s">
        <v>15</v>
      </c>
      <c r="F1085" s="1" t="s">
        <v>16</v>
      </c>
      <c r="G1085" s="1" t="s">
        <v>13</v>
      </c>
      <c r="H1085">
        <v>199</v>
      </c>
      <c r="I1085">
        <v>4</v>
      </c>
      <c r="J1085">
        <v>796</v>
      </c>
    </row>
    <row r="1086" spans="1:10" x14ac:dyDescent="0.25">
      <c r="A1086">
        <v>1085</v>
      </c>
      <c r="B1086" s="2">
        <v>43447</v>
      </c>
      <c r="C1086">
        <v>5</v>
      </c>
      <c r="D1086" s="1" t="s">
        <v>40</v>
      </c>
      <c r="E1086" s="1" t="s">
        <v>43</v>
      </c>
      <c r="F1086" s="1" t="s">
        <v>16</v>
      </c>
      <c r="G1086" s="1" t="s">
        <v>13</v>
      </c>
      <c r="H1086">
        <v>199</v>
      </c>
      <c r="I1086">
        <v>9</v>
      </c>
      <c r="J1086">
        <v>1791</v>
      </c>
    </row>
    <row r="1087" spans="1:10" x14ac:dyDescent="0.25">
      <c r="A1087">
        <v>1086</v>
      </c>
      <c r="B1087" s="2">
        <v>43447</v>
      </c>
      <c r="C1087">
        <v>11</v>
      </c>
      <c r="D1087" s="1" t="s">
        <v>10</v>
      </c>
      <c r="E1087" s="1" t="s">
        <v>41</v>
      </c>
      <c r="F1087" s="1" t="s">
        <v>12</v>
      </c>
      <c r="G1087" s="1" t="s">
        <v>26</v>
      </c>
      <c r="H1087">
        <v>69</v>
      </c>
      <c r="I1087">
        <v>1</v>
      </c>
      <c r="J1087">
        <v>69</v>
      </c>
    </row>
    <row r="1088" spans="1:10" x14ac:dyDescent="0.25">
      <c r="A1088">
        <v>1087</v>
      </c>
      <c r="B1088" s="2">
        <v>43447</v>
      </c>
      <c r="C1088">
        <v>3</v>
      </c>
      <c r="D1088" s="1" t="s">
        <v>33</v>
      </c>
      <c r="E1088" s="1" t="s">
        <v>15</v>
      </c>
      <c r="F1088" s="1" t="s">
        <v>16</v>
      </c>
      <c r="G1088" s="1" t="s">
        <v>26</v>
      </c>
      <c r="H1088">
        <v>69</v>
      </c>
      <c r="I1088">
        <v>5</v>
      </c>
      <c r="J1088">
        <v>345</v>
      </c>
    </row>
    <row r="1089" spans="1:10" x14ac:dyDescent="0.25">
      <c r="A1089">
        <v>1088</v>
      </c>
      <c r="B1089" s="2">
        <v>43447</v>
      </c>
      <c r="C1089">
        <v>11</v>
      </c>
      <c r="D1089" s="1" t="s">
        <v>10</v>
      </c>
      <c r="E1089" s="1" t="s">
        <v>41</v>
      </c>
      <c r="F1089" s="1" t="s">
        <v>12</v>
      </c>
      <c r="G1089" s="1" t="s">
        <v>21</v>
      </c>
      <c r="H1089">
        <v>159</v>
      </c>
      <c r="I1089">
        <v>3</v>
      </c>
      <c r="J1089">
        <v>477</v>
      </c>
    </row>
    <row r="1090" spans="1:10" x14ac:dyDescent="0.25">
      <c r="A1090">
        <v>1089</v>
      </c>
      <c r="B1090" s="2">
        <v>43447</v>
      </c>
      <c r="C1090">
        <v>1</v>
      </c>
      <c r="D1090" s="1" t="s">
        <v>14</v>
      </c>
      <c r="E1090" s="1" t="s">
        <v>15</v>
      </c>
      <c r="F1090" s="1" t="s">
        <v>16</v>
      </c>
      <c r="G1090" s="1" t="s">
        <v>32</v>
      </c>
      <c r="H1090">
        <v>399</v>
      </c>
      <c r="I1090">
        <v>1</v>
      </c>
      <c r="J1090">
        <v>399</v>
      </c>
    </row>
    <row r="1091" spans="1:10" x14ac:dyDescent="0.25">
      <c r="A1091">
        <v>1090</v>
      </c>
      <c r="B1091" s="2">
        <v>43448</v>
      </c>
      <c r="C1091">
        <v>18</v>
      </c>
      <c r="D1091" s="1" t="s">
        <v>22</v>
      </c>
      <c r="E1091" s="1" t="s">
        <v>23</v>
      </c>
      <c r="F1091" s="1" t="s">
        <v>24</v>
      </c>
      <c r="G1091" s="1" t="s">
        <v>17</v>
      </c>
      <c r="H1091">
        <v>289</v>
      </c>
      <c r="I1091">
        <v>9</v>
      </c>
      <c r="J1091">
        <v>2601</v>
      </c>
    </row>
    <row r="1092" spans="1:10" x14ac:dyDescent="0.25">
      <c r="A1092">
        <v>1091</v>
      </c>
      <c r="B1092" s="2">
        <v>43449</v>
      </c>
      <c r="C1092">
        <v>15</v>
      </c>
      <c r="D1092" s="1" t="s">
        <v>46</v>
      </c>
      <c r="E1092" s="1" t="s">
        <v>41</v>
      </c>
      <c r="F1092" s="1" t="s">
        <v>12</v>
      </c>
      <c r="G1092" s="1" t="s">
        <v>17</v>
      </c>
      <c r="H1092">
        <v>289</v>
      </c>
      <c r="I1092">
        <v>9</v>
      </c>
      <c r="J1092">
        <v>2601</v>
      </c>
    </row>
    <row r="1093" spans="1:10" x14ac:dyDescent="0.25">
      <c r="A1093">
        <v>1092</v>
      </c>
      <c r="B1093" s="2">
        <v>43449</v>
      </c>
      <c r="C1093">
        <v>8</v>
      </c>
      <c r="D1093" s="1" t="s">
        <v>34</v>
      </c>
      <c r="E1093" s="1" t="s">
        <v>19</v>
      </c>
      <c r="F1093" s="1" t="s">
        <v>20</v>
      </c>
      <c r="G1093" s="1" t="s">
        <v>17</v>
      </c>
      <c r="H1093">
        <v>289</v>
      </c>
      <c r="I1093">
        <v>2</v>
      </c>
      <c r="J1093">
        <v>578</v>
      </c>
    </row>
    <row r="1094" spans="1:10" x14ac:dyDescent="0.25">
      <c r="A1094">
        <v>1093</v>
      </c>
      <c r="B1094" s="2">
        <v>43450</v>
      </c>
      <c r="C1094">
        <v>18</v>
      </c>
      <c r="D1094" s="1" t="s">
        <v>22</v>
      </c>
      <c r="E1094" s="1" t="s">
        <v>23</v>
      </c>
      <c r="F1094" s="1" t="s">
        <v>24</v>
      </c>
      <c r="G1094" s="1" t="s">
        <v>21</v>
      </c>
      <c r="H1094">
        <v>159</v>
      </c>
      <c r="I1094">
        <v>4</v>
      </c>
      <c r="J1094">
        <v>636</v>
      </c>
    </row>
    <row r="1095" spans="1:10" x14ac:dyDescent="0.25">
      <c r="A1095">
        <v>1094</v>
      </c>
      <c r="B1095" s="2">
        <v>43450</v>
      </c>
      <c r="C1095">
        <v>5</v>
      </c>
      <c r="D1095" s="1" t="s">
        <v>40</v>
      </c>
      <c r="E1095" s="1" t="s">
        <v>43</v>
      </c>
      <c r="F1095" s="1" t="s">
        <v>16</v>
      </c>
      <c r="G1095" s="1" t="s">
        <v>26</v>
      </c>
      <c r="H1095">
        <v>69</v>
      </c>
      <c r="I1095">
        <v>1</v>
      </c>
      <c r="J1095">
        <v>69</v>
      </c>
    </row>
    <row r="1096" spans="1:10" x14ac:dyDescent="0.25">
      <c r="A1096">
        <v>1095</v>
      </c>
      <c r="B1096" s="2">
        <v>43450</v>
      </c>
      <c r="C1096">
        <v>20</v>
      </c>
      <c r="D1096" s="1" t="s">
        <v>31</v>
      </c>
      <c r="E1096" s="1" t="s">
        <v>29</v>
      </c>
      <c r="F1096" s="1" t="s">
        <v>24</v>
      </c>
      <c r="G1096" s="1" t="s">
        <v>17</v>
      </c>
      <c r="H1096">
        <v>289</v>
      </c>
      <c r="I1096">
        <v>3</v>
      </c>
      <c r="J1096">
        <v>867</v>
      </c>
    </row>
    <row r="1097" spans="1:10" x14ac:dyDescent="0.25">
      <c r="A1097">
        <v>1096</v>
      </c>
      <c r="B1097" s="2">
        <v>43451</v>
      </c>
      <c r="C1097">
        <v>12</v>
      </c>
      <c r="D1097" s="1" t="s">
        <v>42</v>
      </c>
      <c r="E1097" s="1" t="s">
        <v>11</v>
      </c>
      <c r="F1097" s="1" t="s">
        <v>12</v>
      </c>
      <c r="G1097" s="1" t="s">
        <v>32</v>
      </c>
      <c r="H1097">
        <v>399</v>
      </c>
      <c r="I1097">
        <v>5</v>
      </c>
      <c r="J1097">
        <v>1995</v>
      </c>
    </row>
    <row r="1098" spans="1:10" x14ac:dyDescent="0.25">
      <c r="A1098">
        <v>1097</v>
      </c>
      <c r="B1098" s="2">
        <v>43451</v>
      </c>
      <c r="C1098">
        <v>1</v>
      </c>
      <c r="D1098" s="1" t="s">
        <v>14</v>
      </c>
      <c r="E1098" s="1" t="s">
        <v>15</v>
      </c>
      <c r="F1098" s="1" t="s">
        <v>16</v>
      </c>
      <c r="G1098" s="1" t="s">
        <v>26</v>
      </c>
      <c r="H1098">
        <v>69</v>
      </c>
      <c r="I1098">
        <v>6</v>
      </c>
      <c r="J1098">
        <v>414</v>
      </c>
    </row>
    <row r="1099" spans="1:10" x14ac:dyDescent="0.25">
      <c r="A1099">
        <v>1098</v>
      </c>
      <c r="B1099" s="2">
        <v>43452</v>
      </c>
      <c r="C1099">
        <v>10</v>
      </c>
      <c r="D1099" s="1" t="s">
        <v>39</v>
      </c>
      <c r="E1099" s="1" t="s">
        <v>19</v>
      </c>
      <c r="F1099" s="1" t="s">
        <v>20</v>
      </c>
      <c r="G1099" s="1" t="s">
        <v>13</v>
      </c>
      <c r="H1099">
        <v>199</v>
      </c>
      <c r="I1099">
        <v>3</v>
      </c>
      <c r="J1099">
        <v>597</v>
      </c>
    </row>
    <row r="1100" spans="1:10" x14ac:dyDescent="0.25">
      <c r="A1100">
        <v>1099</v>
      </c>
      <c r="B1100" s="2">
        <v>43452</v>
      </c>
      <c r="C1100">
        <v>3</v>
      </c>
      <c r="D1100" s="1" t="s">
        <v>33</v>
      </c>
      <c r="E1100" s="1" t="s">
        <v>15</v>
      </c>
      <c r="F1100" s="1" t="s">
        <v>16</v>
      </c>
      <c r="G1100" s="1" t="s">
        <v>26</v>
      </c>
      <c r="H1100">
        <v>69</v>
      </c>
      <c r="I1100">
        <v>2</v>
      </c>
      <c r="J1100">
        <v>138</v>
      </c>
    </row>
    <row r="1101" spans="1:10" x14ac:dyDescent="0.25">
      <c r="A1101">
        <v>1100</v>
      </c>
      <c r="B1101" s="2">
        <v>43452</v>
      </c>
      <c r="C1101">
        <v>8</v>
      </c>
      <c r="D1101" s="1" t="s">
        <v>34</v>
      </c>
      <c r="E1101" s="1" t="s">
        <v>35</v>
      </c>
      <c r="F1101" s="1" t="s">
        <v>20</v>
      </c>
      <c r="G1101" s="1" t="s">
        <v>21</v>
      </c>
      <c r="H1101">
        <v>159</v>
      </c>
      <c r="I1101">
        <v>3</v>
      </c>
      <c r="J1101">
        <v>477</v>
      </c>
    </row>
    <row r="1102" spans="1:10" x14ac:dyDescent="0.25">
      <c r="A1102">
        <v>1101</v>
      </c>
      <c r="B1102" s="2">
        <v>43452</v>
      </c>
      <c r="C1102">
        <v>8</v>
      </c>
      <c r="D1102" s="1" t="s">
        <v>34</v>
      </c>
      <c r="E1102" s="1" t="s">
        <v>19</v>
      </c>
      <c r="F1102" s="1" t="s">
        <v>20</v>
      </c>
      <c r="G1102" s="1" t="s">
        <v>26</v>
      </c>
      <c r="H1102">
        <v>69</v>
      </c>
      <c r="I1102">
        <v>9</v>
      </c>
      <c r="J1102">
        <v>621</v>
      </c>
    </row>
    <row r="1103" spans="1:10" x14ac:dyDescent="0.25">
      <c r="A1103">
        <v>1102</v>
      </c>
      <c r="B1103" s="2">
        <v>43452</v>
      </c>
      <c r="C1103">
        <v>12</v>
      </c>
      <c r="D1103" s="1" t="s">
        <v>42</v>
      </c>
      <c r="E1103" s="1" t="s">
        <v>11</v>
      </c>
      <c r="F1103" s="1" t="s">
        <v>12</v>
      </c>
      <c r="G1103" s="1" t="s">
        <v>32</v>
      </c>
      <c r="H1103">
        <v>399</v>
      </c>
      <c r="I1103">
        <v>3</v>
      </c>
      <c r="J1103">
        <v>1197</v>
      </c>
    </row>
    <row r="1104" spans="1:10" x14ac:dyDescent="0.25">
      <c r="A1104">
        <v>1103</v>
      </c>
      <c r="B1104" s="2">
        <v>43452</v>
      </c>
      <c r="C1104">
        <v>5</v>
      </c>
      <c r="D1104" s="1" t="s">
        <v>40</v>
      </c>
      <c r="E1104" s="1" t="s">
        <v>43</v>
      </c>
      <c r="F1104" s="1" t="s">
        <v>16</v>
      </c>
      <c r="G1104" s="1" t="s">
        <v>32</v>
      </c>
      <c r="H1104">
        <v>399</v>
      </c>
      <c r="I1104">
        <v>0</v>
      </c>
      <c r="J1104">
        <v>0</v>
      </c>
    </row>
    <row r="1105" spans="1:10" x14ac:dyDescent="0.25">
      <c r="A1105">
        <v>1104</v>
      </c>
      <c r="B1105" s="2">
        <v>43452</v>
      </c>
      <c r="C1105">
        <v>12</v>
      </c>
      <c r="D1105" s="1" t="s">
        <v>42</v>
      </c>
      <c r="E1105" s="1" t="s">
        <v>41</v>
      </c>
      <c r="F1105" s="1" t="s">
        <v>12</v>
      </c>
      <c r="G1105" s="1" t="s">
        <v>13</v>
      </c>
      <c r="H1105">
        <v>199</v>
      </c>
      <c r="I1105">
        <v>2</v>
      </c>
      <c r="J1105">
        <v>398</v>
      </c>
    </row>
    <row r="1106" spans="1:10" x14ac:dyDescent="0.25">
      <c r="A1106">
        <v>1105</v>
      </c>
      <c r="B1106" s="2">
        <v>43452</v>
      </c>
      <c r="C1106">
        <v>12</v>
      </c>
      <c r="D1106" s="1" t="s">
        <v>42</v>
      </c>
      <c r="E1106" s="1" t="s">
        <v>11</v>
      </c>
      <c r="F1106" s="1" t="s">
        <v>12</v>
      </c>
      <c r="G1106" s="1" t="s">
        <v>21</v>
      </c>
      <c r="H1106">
        <v>159</v>
      </c>
      <c r="I1106">
        <v>7</v>
      </c>
      <c r="J1106">
        <v>1113</v>
      </c>
    </row>
    <row r="1107" spans="1:10" x14ac:dyDescent="0.25">
      <c r="A1107">
        <v>1106</v>
      </c>
      <c r="B1107" s="2">
        <v>43452</v>
      </c>
      <c r="C1107">
        <v>20</v>
      </c>
      <c r="D1107" s="1" t="s">
        <v>31</v>
      </c>
      <c r="E1107" s="1" t="s">
        <v>23</v>
      </c>
      <c r="F1107" s="1" t="s">
        <v>24</v>
      </c>
      <c r="G1107" s="1" t="s">
        <v>17</v>
      </c>
      <c r="H1107">
        <v>289</v>
      </c>
      <c r="I1107">
        <v>4</v>
      </c>
      <c r="J1107">
        <v>1156</v>
      </c>
    </row>
    <row r="1108" spans="1:10" x14ac:dyDescent="0.25">
      <c r="A1108">
        <v>1107</v>
      </c>
      <c r="B1108" s="2">
        <v>43452</v>
      </c>
      <c r="C1108">
        <v>7</v>
      </c>
      <c r="D1108" s="1" t="s">
        <v>44</v>
      </c>
      <c r="E1108" s="1" t="s">
        <v>35</v>
      </c>
      <c r="F1108" s="1" t="s">
        <v>20</v>
      </c>
      <c r="G1108" s="1" t="s">
        <v>13</v>
      </c>
      <c r="H1108">
        <v>199</v>
      </c>
      <c r="I1108">
        <v>9</v>
      </c>
      <c r="J1108">
        <v>1791</v>
      </c>
    </row>
    <row r="1109" spans="1:10" x14ac:dyDescent="0.25">
      <c r="A1109">
        <v>1108</v>
      </c>
      <c r="B1109" s="2">
        <v>43452</v>
      </c>
      <c r="C1109">
        <v>14</v>
      </c>
      <c r="D1109" s="1" t="s">
        <v>30</v>
      </c>
      <c r="E1109" s="1" t="s">
        <v>11</v>
      </c>
      <c r="F1109" s="1" t="s">
        <v>12</v>
      </c>
      <c r="G1109" s="1" t="s">
        <v>32</v>
      </c>
      <c r="H1109">
        <v>399</v>
      </c>
      <c r="I1109">
        <v>5</v>
      </c>
      <c r="J1109">
        <v>1995</v>
      </c>
    </row>
    <row r="1110" spans="1:10" x14ac:dyDescent="0.25">
      <c r="A1110">
        <v>1109</v>
      </c>
      <c r="B1110" s="2">
        <v>43453</v>
      </c>
      <c r="C1110">
        <v>11</v>
      </c>
      <c r="D1110" s="1" t="s">
        <v>10</v>
      </c>
      <c r="E1110" s="1" t="s">
        <v>11</v>
      </c>
      <c r="F1110" s="1" t="s">
        <v>12</v>
      </c>
      <c r="G1110" s="1" t="s">
        <v>21</v>
      </c>
      <c r="H1110">
        <v>159</v>
      </c>
      <c r="I1110">
        <v>2</v>
      </c>
      <c r="J1110">
        <v>318</v>
      </c>
    </row>
    <row r="1111" spans="1:10" x14ac:dyDescent="0.25">
      <c r="A1111">
        <v>1110</v>
      </c>
      <c r="B1111" s="2">
        <v>43453</v>
      </c>
      <c r="C1111">
        <v>10</v>
      </c>
      <c r="D1111" s="1" t="s">
        <v>39</v>
      </c>
      <c r="E1111" s="1" t="s">
        <v>35</v>
      </c>
      <c r="F1111" s="1" t="s">
        <v>20</v>
      </c>
      <c r="G1111" s="1" t="s">
        <v>21</v>
      </c>
      <c r="H1111">
        <v>159</v>
      </c>
      <c r="I1111">
        <v>9</v>
      </c>
      <c r="J1111">
        <v>1431</v>
      </c>
    </row>
    <row r="1112" spans="1:10" x14ac:dyDescent="0.25">
      <c r="A1112">
        <v>1111</v>
      </c>
      <c r="B1112" s="2">
        <v>43454</v>
      </c>
      <c r="C1112">
        <v>4</v>
      </c>
      <c r="D1112" s="1" t="s">
        <v>37</v>
      </c>
      <c r="E1112" s="1" t="s">
        <v>15</v>
      </c>
      <c r="F1112" s="1" t="s">
        <v>16</v>
      </c>
      <c r="G1112" s="1" t="s">
        <v>32</v>
      </c>
      <c r="H1112">
        <v>399</v>
      </c>
      <c r="I1112">
        <v>8</v>
      </c>
      <c r="J1112">
        <v>3192</v>
      </c>
    </row>
    <row r="1113" spans="1:10" x14ac:dyDescent="0.25">
      <c r="A1113">
        <v>1112</v>
      </c>
      <c r="B1113" s="2">
        <v>43454</v>
      </c>
      <c r="C1113">
        <v>10</v>
      </c>
      <c r="D1113" s="1" t="s">
        <v>39</v>
      </c>
      <c r="E1113" s="1" t="s">
        <v>19</v>
      </c>
      <c r="F1113" s="1" t="s">
        <v>20</v>
      </c>
      <c r="G1113" s="1" t="s">
        <v>26</v>
      </c>
      <c r="H1113">
        <v>69</v>
      </c>
      <c r="I1113">
        <v>6</v>
      </c>
      <c r="J1113">
        <v>414</v>
      </c>
    </row>
    <row r="1114" spans="1:10" x14ac:dyDescent="0.25">
      <c r="A1114">
        <v>1113</v>
      </c>
      <c r="B1114" s="2">
        <v>43454</v>
      </c>
      <c r="C1114">
        <v>19</v>
      </c>
      <c r="D1114" s="1" t="s">
        <v>38</v>
      </c>
      <c r="E1114" s="1" t="s">
        <v>23</v>
      </c>
      <c r="F1114" s="1" t="s">
        <v>24</v>
      </c>
      <c r="G1114" s="1" t="s">
        <v>26</v>
      </c>
      <c r="H1114">
        <v>69</v>
      </c>
      <c r="I1114">
        <v>7</v>
      </c>
      <c r="J1114">
        <v>483</v>
      </c>
    </row>
    <row r="1115" spans="1:10" x14ac:dyDescent="0.25">
      <c r="A1115">
        <v>1114</v>
      </c>
      <c r="B1115" s="2">
        <v>43454</v>
      </c>
      <c r="C1115">
        <v>13</v>
      </c>
      <c r="D1115" s="1" t="s">
        <v>27</v>
      </c>
      <c r="E1115" s="1" t="s">
        <v>11</v>
      </c>
      <c r="F1115" s="1" t="s">
        <v>12</v>
      </c>
      <c r="G1115" s="1" t="s">
        <v>26</v>
      </c>
      <c r="H1115">
        <v>69</v>
      </c>
      <c r="I1115">
        <v>8</v>
      </c>
      <c r="J1115">
        <v>552</v>
      </c>
    </row>
    <row r="1116" spans="1:10" x14ac:dyDescent="0.25">
      <c r="A1116">
        <v>1115</v>
      </c>
      <c r="B1116" s="2">
        <v>43454</v>
      </c>
      <c r="C1116">
        <v>20</v>
      </c>
      <c r="D1116" s="1" t="s">
        <v>31</v>
      </c>
      <c r="E1116" s="1" t="s">
        <v>29</v>
      </c>
      <c r="F1116" s="1" t="s">
        <v>24</v>
      </c>
      <c r="G1116" s="1" t="s">
        <v>13</v>
      </c>
      <c r="H1116">
        <v>199</v>
      </c>
      <c r="I1116">
        <v>1</v>
      </c>
      <c r="J1116">
        <v>199</v>
      </c>
    </row>
    <row r="1117" spans="1:10" x14ac:dyDescent="0.25">
      <c r="A1117">
        <v>1116</v>
      </c>
      <c r="B1117" s="2">
        <v>43454</v>
      </c>
      <c r="C1117">
        <v>14</v>
      </c>
      <c r="D1117" s="1" t="s">
        <v>30</v>
      </c>
      <c r="E1117" s="1" t="s">
        <v>11</v>
      </c>
      <c r="F1117" s="1" t="s">
        <v>12</v>
      </c>
      <c r="G1117" s="1" t="s">
        <v>21</v>
      </c>
      <c r="H1117">
        <v>159</v>
      </c>
      <c r="I1117">
        <v>9</v>
      </c>
      <c r="J1117">
        <v>1431</v>
      </c>
    </row>
    <row r="1118" spans="1:10" x14ac:dyDescent="0.25">
      <c r="A1118">
        <v>1117</v>
      </c>
      <c r="B1118" s="2">
        <v>43454</v>
      </c>
      <c r="C1118">
        <v>9</v>
      </c>
      <c r="D1118" s="1" t="s">
        <v>18</v>
      </c>
      <c r="E1118" s="1" t="s">
        <v>19</v>
      </c>
      <c r="F1118" s="1" t="s">
        <v>20</v>
      </c>
      <c r="G1118" s="1" t="s">
        <v>17</v>
      </c>
      <c r="H1118">
        <v>289</v>
      </c>
      <c r="I1118">
        <v>5</v>
      </c>
      <c r="J1118">
        <v>1445</v>
      </c>
    </row>
    <row r="1119" spans="1:10" x14ac:dyDescent="0.25">
      <c r="A1119">
        <v>1118</v>
      </c>
      <c r="B1119" s="2">
        <v>43454</v>
      </c>
      <c r="C1119">
        <v>18</v>
      </c>
      <c r="D1119" s="1" t="s">
        <v>22</v>
      </c>
      <c r="E1119" s="1" t="s">
        <v>23</v>
      </c>
      <c r="F1119" s="1" t="s">
        <v>24</v>
      </c>
      <c r="G1119" s="1" t="s">
        <v>32</v>
      </c>
      <c r="H1119">
        <v>399</v>
      </c>
      <c r="I1119">
        <v>7</v>
      </c>
      <c r="J1119">
        <v>2793</v>
      </c>
    </row>
    <row r="1120" spans="1:10" x14ac:dyDescent="0.25">
      <c r="A1120">
        <v>1119</v>
      </c>
      <c r="B1120" s="2">
        <v>43454</v>
      </c>
      <c r="C1120">
        <v>10</v>
      </c>
      <c r="D1120" s="1" t="s">
        <v>39</v>
      </c>
      <c r="E1120" s="1" t="s">
        <v>19</v>
      </c>
      <c r="F1120" s="1" t="s">
        <v>20</v>
      </c>
      <c r="G1120" s="1" t="s">
        <v>13</v>
      </c>
      <c r="H1120">
        <v>199</v>
      </c>
      <c r="I1120">
        <v>6</v>
      </c>
      <c r="J1120">
        <v>1194</v>
      </c>
    </row>
    <row r="1121" spans="1:10" x14ac:dyDescent="0.25">
      <c r="A1121">
        <v>1120</v>
      </c>
      <c r="B1121" s="2">
        <v>43455</v>
      </c>
      <c r="C1121">
        <v>1</v>
      </c>
      <c r="D1121" s="1" t="s">
        <v>14</v>
      </c>
      <c r="E1121" s="1" t="s">
        <v>43</v>
      </c>
      <c r="F1121" s="1" t="s">
        <v>16</v>
      </c>
      <c r="G1121" s="1" t="s">
        <v>21</v>
      </c>
      <c r="H1121">
        <v>159</v>
      </c>
      <c r="I1121">
        <v>8</v>
      </c>
      <c r="J1121">
        <v>1272</v>
      </c>
    </row>
    <row r="1122" spans="1:10" x14ac:dyDescent="0.25">
      <c r="A1122">
        <v>1121</v>
      </c>
      <c r="B1122" s="2">
        <v>43456</v>
      </c>
      <c r="C1122">
        <v>14</v>
      </c>
      <c r="D1122" s="1" t="s">
        <v>30</v>
      </c>
      <c r="E1122" s="1" t="s">
        <v>41</v>
      </c>
      <c r="F1122" s="1" t="s">
        <v>12</v>
      </c>
      <c r="G1122" s="1" t="s">
        <v>32</v>
      </c>
      <c r="H1122">
        <v>399</v>
      </c>
      <c r="I1122">
        <v>7</v>
      </c>
      <c r="J1122">
        <v>2793</v>
      </c>
    </row>
    <row r="1123" spans="1:10" x14ac:dyDescent="0.25">
      <c r="A1123">
        <v>1122</v>
      </c>
      <c r="B1123" s="2">
        <v>43457</v>
      </c>
      <c r="C1123">
        <v>6</v>
      </c>
      <c r="D1123" s="1" t="s">
        <v>36</v>
      </c>
      <c r="E1123" s="1" t="s">
        <v>35</v>
      </c>
      <c r="F1123" s="1" t="s">
        <v>20</v>
      </c>
      <c r="G1123" s="1" t="s">
        <v>21</v>
      </c>
      <c r="H1123">
        <v>159</v>
      </c>
      <c r="I1123">
        <v>2</v>
      </c>
      <c r="J1123">
        <v>318</v>
      </c>
    </row>
    <row r="1124" spans="1:10" x14ac:dyDescent="0.25">
      <c r="A1124">
        <v>1123</v>
      </c>
      <c r="B1124" s="2">
        <v>43457</v>
      </c>
      <c r="C1124">
        <v>9</v>
      </c>
      <c r="D1124" s="1" t="s">
        <v>18</v>
      </c>
      <c r="E1124" s="1" t="s">
        <v>19</v>
      </c>
      <c r="F1124" s="1" t="s">
        <v>20</v>
      </c>
      <c r="G1124" s="1" t="s">
        <v>21</v>
      </c>
      <c r="H1124">
        <v>159</v>
      </c>
      <c r="I1124">
        <v>9</v>
      </c>
      <c r="J1124">
        <v>1431</v>
      </c>
    </row>
    <row r="1125" spans="1:10" x14ac:dyDescent="0.25">
      <c r="A1125">
        <v>1124</v>
      </c>
      <c r="B1125" s="2">
        <v>43457</v>
      </c>
      <c r="C1125">
        <v>14</v>
      </c>
      <c r="D1125" s="1" t="s">
        <v>30</v>
      </c>
      <c r="E1125" s="1" t="s">
        <v>11</v>
      </c>
      <c r="F1125" s="1" t="s">
        <v>12</v>
      </c>
      <c r="G1125" s="1" t="s">
        <v>21</v>
      </c>
      <c r="H1125">
        <v>159</v>
      </c>
      <c r="I1125">
        <v>2</v>
      </c>
      <c r="J1125">
        <v>318</v>
      </c>
    </row>
    <row r="1126" spans="1:10" x14ac:dyDescent="0.25">
      <c r="A1126">
        <v>1125</v>
      </c>
      <c r="B1126" s="2">
        <v>43457</v>
      </c>
      <c r="C1126">
        <v>19</v>
      </c>
      <c r="D1126" s="1" t="s">
        <v>38</v>
      </c>
      <c r="E1126" s="1" t="s">
        <v>23</v>
      </c>
      <c r="F1126" s="1" t="s">
        <v>24</v>
      </c>
      <c r="G1126" s="1" t="s">
        <v>26</v>
      </c>
      <c r="H1126">
        <v>69</v>
      </c>
      <c r="I1126">
        <v>5</v>
      </c>
      <c r="J1126">
        <v>345</v>
      </c>
    </row>
    <row r="1127" spans="1:10" x14ac:dyDescent="0.25">
      <c r="A1127">
        <v>1126</v>
      </c>
      <c r="B1127" s="2">
        <v>43457</v>
      </c>
      <c r="C1127">
        <v>11</v>
      </c>
      <c r="D1127" s="1" t="s">
        <v>10</v>
      </c>
      <c r="E1127" s="1" t="s">
        <v>11</v>
      </c>
      <c r="F1127" s="1" t="s">
        <v>12</v>
      </c>
      <c r="G1127" s="1" t="s">
        <v>17</v>
      </c>
      <c r="H1127">
        <v>289</v>
      </c>
      <c r="I1127">
        <v>9</v>
      </c>
      <c r="J1127">
        <v>2601</v>
      </c>
    </row>
    <row r="1128" spans="1:10" x14ac:dyDescent="0.25">
      <c r="A1128">
        <v>1127</v>
      </c>
      <c r="B1128" s="2">
        <v>43457</v>
      </c>
      <c r="C1128">
        <v>17</v>
      </c>
      <c r="D1128" s="1" t="s">
        <v>28</v>
      </c>
      <c r="E1128" s="1" t="s">
        <v>29</v>
      </c>
      <c r="F1128" s="1" t="s">
        <v>24</v>
      </c>
      <c r="G1128" s="1" t="s">
        <v>13</v>
      </c>
      <c r="H1128">
        <v>199</v>
      </c>
      <c r="I1128">
        <v>9</v>
      </c>
      <c r="J1128">
        <v>1791</v>
      </c>
    </row>
    <row r="1129" spans="1:10" x14ac:dyDescent="0.25">
      <c r="A1129">
        <v>1128</v>
      </c>
      <c r="B1129" s="2">
        <v>43458</v>
      </c>
      <c r="C1129">
        <v>9</v>
      </c>
      <c r="D1129" s="1" t="s">
        <v>18</v>
      </c>
      <c r="E1129" s="1" t="s">
        <v>35</v>
      </c>
      <c r="F1129" s="1" t="s">
        <v>20</v>
      </c>
      <c r="G1129" s="1" t="s">
        <v>32</v>
      </c>
      <c r="H1129">
        <v>399</v>
      </c>
      <c r="I1129">
        <v>2</v>
      </c>
      <c r="J1129">
        <v>798</v>
      </c>
    </row>
    <row r="1130" spans="1:10" x14ac:dyDescent="0.25">
      <c r="A1130">
        <v>1129</v>
      </c>
      <c r="B1130" s="2">
        <v>43458</v>
      </c>
      <c r="C1130">
        <v>13</v>
      </c>
      <c r="D1130" s="1" t="s">
        <v>27</v>
      </c>
      <c r="E1130" s="1" t="s">
        <v>11</v>
      </c>
      <c r="F1130" s="1" t="s">
        <v>12</v>
      </c>
      <c r="G1130" s="1" t="s">
        <v>21</v>
      </c>
      <c r="H1130">
        <v>159</v>
      </c>
      <c r="I1130">
        <v>2</v>
      </c>
      <c r="J1130">
        <v>318</v>
      </c>
    </row>
    <row r="1131" spans="1:10" x14ac:dyDescent="0.25">
      <c r="A1131">
        <v>1130</v>
      </c>
      <c r="B1131" s="2">
        <v>43459</v>
      </c>
      <c r="C1131">
        <v>18</v>
      </c>
      <c r="D1131" s="1" t="s">
        <v>22</v>
      </c>
      <c r="E1131" s="1" t="s">
        <v>29</v>
      </c>
      <c r="F1131" s="1" t="s">
        <v>24</v>
      </c>
      <c r="G1131" s="1" t="s">
        <v>13</v>
      </c>
      <c r="H1131">
        <v>199</v>
      </c>
      <c r="I1131">
        <v>8</v>
      </c>
      <c r="J1131">
        <v>1592</v>
      </c>
    </row>
    <row r="1132" spans="1:10" x14ac:dyDescent="0.25">
      <c r="A1132">
        <v>1131</v>
      </c>
      <c r="B1132" s="2">
        <v>43459</v>
      </c>
      <c r="C1132">
        <v>4</v>
      </c>
      <c r="D1132" s="1" t="s">
        <v>37</v>
      </c>
      <c r="E1132" s="1" t="s">
        <v>43</v>
      </c>
      <c r="F1132" s="1" t="s">
        <v>16</v>
      </c>
      <c r="G1132" s="1" t="s">
        <v>26</v>
      </c>
      <c r="H1132">
        <v>69</v>
      </c>
      <c r="I1132">
        <v>7</v>
      </c>
      <c r="J1132">
        <v>483</v>
      </c>
    </row>
    <row r="1133" spans="1:10" x14ac:dyDescent="0.25">
      <c r="A1133">
        <v>1132</v>
      </c>
      <c r="B1133" s="2">
        <v>43459</v>
      </c>
      <c r="C1133">
        <v>17</v>
      </c>
      <c r="D1133" s="1" t="s">
        <v>28</v>
      </c>
      <c r="E1133" s="1" t="s">
        <v>23</v>
      </c>
      <c r="F1133" s="1" t="s">
        <v>24</v>
      </c>
      <c r="G1133" s="1" t="s">
        <v>13</v>
      </c>
      <c r="H1133">
        <v>199</v>
      </c>
      <c r="I1133">
        <v>3</v>
      </c>
      <c r="J1133">
        <v>597</v>
      </c>
    </row>
    <row r="1134" spans="1:10" x14ac:dyDescent="0.25">
      <c r="A1134">
        <v>1133</v>
      </c>
      <c r="B1134" s="2">
        <v>43459</v>
      </c>
      <c r="C1134">
        <v>8</v>
      </c>
      <c r="D1134" s="1" t="s">
        <v>34</v>
      </c>
      <c r="E1134" s="1" t="s">
        <v>35</v>
      </c>
      <c r="F1134" s="1" t="s">
        <v>20</v>
      </c>
      <c r="G1134" s="1" t="s">
        <v>26</v>
      </c>
      <c r="H1134">
        <v>69</v>
      </c>
      <c r="I1134">
        <v>2</v>
      </c>
      <c r="J1134">
        <v>138</v>
      </c>
    </row>
    <row r="1135" spans="1:10" x14ac:dyDescent="0.25">
      <c r="A1135">
        <v>1134</v>
      </c>
      <c r="B1135" s="2">
        <v>43459</v>
      </c>
      <c r="C1135">
        <v>12</v>
      </c>
      <c r="D1135" s="1" t="s">
        <v>42</v>
      </c>
      <c r="E1135" s="1" t="s">
        <v>41</v>
      </c>
      <c r="F1135" s="1" t="s">
        <v>12</v>
      </c>
      <c r="G1135" s="1" t="s">
        <v>21</v>
      </c>
      <c r="H1135">
        <v>159</v>
      </c>
      <c r="I1135">
        <v>5</v>
      </c>
      <c r="J1135">
        <v>795</v>
      </c>
    </row>
    <row r="1136" spans="1:10" x14ac:dyDescent="0.25">
      <c r="A1136">
        <v>1135</v>
      </c>
      <c r="B1136" s="2">
        <v>43459</v>
      </c>
      <c r="C1136">
        <v>5</v>
      </c>
      <c r="D1136" s="1" t="s">
        <v>40</v>
      </c>
      <c r="E1136" s="1" t="s">
        <v>15</v>
      </c>
      <c r="F1136" s="1" t="s">
        <v>16</v>
      </c>
      <c r="G1136" s="1" t="s">
        <v>17</v>
      </c>
      <c r="H1136">
        <v>289</v>
      </c>
      <c r="I1136">
        <v>4</v>
      </c>
      <c r="J1136">
        <v>1156</v>
      </c>
    </row>
    <row r="1137" spans="1:10" x14ac:dyDescent="0.25">
      <c r="A1137">
        <v>1136</v>
      </c>
      <c r="B1137" s="2">
        <v>43459</v>
      </c>
      <c r="C1137">
        <v>16</v>
      </c>
      <c r="D1137" s="1" t="s">
        <v>25</v>
      </c>
      <c r="E1137" s="1" t="s">
        <v>23</v>
      </c>
      <c r="F1137" s="1" t="s">
        <v>24</v>
      </c>
      <c r="G1137" s="1" t="s">
        <v>21</v>
      </c>
      <c r="H1137">
        <v>159</v>
      </c>
      <c r="I1137">
        <v>4</v>
      </c>
      <c r="J1137">
        <v>636</v>
      </c>
    </row>
    <row r="1138" spans="1:10" x14ac:dyDescent="0.25">
      <c r="A1138">
        <v>1137</v>
      </c>
      <c r="B1138" s="2">
        <v>43459</v>
      </c>
      <c r="C1138">
        <v>3</v>
      </c>
      <c r="D1138" s="1" t="s">
        <v>33</v>
      </c>
      <c r="E1138" s="1" t="s">
        <v>43</v>
      </c>
      <c r="F1138" s="1" t="s">
        <v>16</v>
      </c>
      <c r="G1138" s="1" t="s">
        <v>17</v>
      </c>
      <c r="H1138">
        <v>289</v>
      </c>
      <c r="I1138">
        <v>6</v>
      </c>
      <c r="J1138">
        <v>1734</v>
      </c>
    </row>
    <row r="1139" spans="1:10" x14ac:dyDescent="0.25">
      <c r="A1139">
        <v>1138</v>
      </c>
      <c r="B1139" s="2">
        <v>43459</v>
      </c>
      <c r="C1139">
        <v>14</v>
      </c>
      <c r="D1139" s="1" t="s">
        <v>30</v>
      </c>
      <c r="E1139" s="1" t="s">
        <v>11</v>
      </c>
      <c r="F1139" s="1" t="s">
        <v>12</v>
      </c>
      <c r="G1139" s="1" t="s">
        <v>21</v>
      </c>
      <c r="H1139">
        <v>159</v>
      </c>
      <c r="I1139">
        <v>0</v>
      </c>
      <c r="J1139">
        <v>0</v>
      </c>
    </row>
    <row r="1140" spans="1:10" x14ac:dyDescent="0.25">
      <c r="A1140">
        <v>1139</v>
      </c>
      <c r="B1140" s="2">
        <v>43460</v>
      </c>
      <c r="C1140">
        <v>11</v>
      </c>
      <c r="D1140" s="1" t="s">
        <v>10</v>
      </c>
      <c r="E1140" s="1" t="s">
        <v>11</v>
      </c>
      <c r="F1140" s="1" t="s">
        <v>12</v>
      </c>
      <c r="G1140" s="1" t="s">
        <v>17</v>
      </c>
      <c r="H1140">
        <v>289</v>
      </c>
      <c r="I1140">
        <v>2</v>
      </c>
      <c r="J1140">
        <v>578</v>
      </c>
    </row>
    <row r="1141" spans="1:10" x14ac:dyDescent="0.25">
      <c r="A1141">
        <v>1140</v>
      </c>
      <c r="B1141" s="2">
        <v>43461</v>
      </c>
      <c r="C1141">
        <v>6</v>
      </c>
      <c r="D1141" s="1" t="s">
        <v>36</v>
      </c>
      <c r="E1141" s="1" t="s">
        <v>35</v>
      </c>
      <c r="F1141" s="1" t="s">
        <v>20</v>
      </c>
      <c r="G1141" s="1" t="s">
        <v>21</v>
      </c>
      <c r="H1141">
        <v>159</v>
      </c>
      <c r="I1141">
        <v>1</v>
      </c>
      <c r="J1141">
        <v>159</v>
      </c>
    </row>
    <row r="1142" spans="1:10" x14ac:dyDescent="0.25">
      <c r="A1142">
        <v>1141</v>
      </c>
      <c r="B1142" s="2">
        <v>43461</v>
      </c>
      <c r="C1142">
        <v>15</v>
      </c>
      <c r="D1142" s="1" t="s">
        <v>46</v>
      </c>
      <c r="E1142" s="1" t="s">
        <v>11</v>
      </c>
      <c r="F1142" s="1" t="s">
        <v>12</v>
      </c>
      <c r="G1142" s="1" t="s">
        <v>21</v>
      </c>
      <c r="H1142">
        <v>159</v>
      </c>
      <c r="I1142">
        <v>0</v>
      </c>
      <c r="J1142">
        <v>0</v>
      </c>
    </row>
    <row r="1143" spans="1:10" x14ac:dyDescent="0.25">
      <c r="A1143">
        <v>1142</v>
      </c>
      <c r="B1143" s="2">
        <v>43461</v>
      </c>
      <c r="C1143">
        <v>16</v>
      </c>
      <c r="D1143" s="1" t="s">
        <v>25</v>
      </c>
      <c r="E1143" s="1" t="s">
        <v>23</v>
      </c>
      <c r="F1143" s="1" t="s">
        <v>24</v>
      </c>
      <c r="G1143" s="1" t="s">
        <v>32</v>
      </c>
      <c r="H1143">
        <v>399</v>
      </c>
      <c r="I1143">
        <v>8</v>
      </c>
      <c r="J1143">
        <v>3192</v>
      </c>
    </row>
    <row r="1144" spans="1:10" x14ac:dyDescent="0.25">
      <c r="A1144">
        <v>1143</v>
      </c>
      <c r="B1144" s="2">
        <v>43462</v>
      </c>
      <c r="C1144">
        <v>17</v>
      </c>
      <c r="D1144" s="1" t="s">
        <v>28</v>
      </c>
      <c r="E1144" s="1" t="s">
        <v>23</v>
      </c>
      <c r="F1144" s="1" t="s">
        <v>24</v>
      </c>
      <c r="G1144" s="1" t="s">
        <v>26</v>
      </c>
      <c r="H1144">
        <v>69</v>
      </c>
      <c r="I1144">
        <v>6</v>
      </c>
      <c r="J1144">
        <v>414</v>
      </c>
    </row>
    <row r="1145" spans="1:10" x14ac:dyDescent="0.25">
      <c r="A1145">
        <v>1144</v>
      </c>
      <c r="B1145" s="2">
        <v>43463</v>
      </c>
      <c r="C1145">
        <v>11</v>
      </c>
      <c r="D1145" s="1" t="s">
        <v>10</v>
      </c>
      <c r="E1145" s="1" t="s">
        <v>11</v>
      </c>
      <c r="F1145" s="1" t="s">
        <v>12</v>
      </c>
      <c r="G1145" s="1" t="s">
        <v>32</v>
      </c>
      <c r="H1145">
        <v>399</v>
      </c>
      <c r="I1145">
        <v>2</v>
      </c>
      <c r="J1145">
        <v>798</v>
      </c>
    </row>
    <row r="1146" spans="1:10" x14ac:dyDescent="0.25">
      <c r="A1146">
        <v>1145</v>
      </c>
      <c r="B1146" s="2">
        <v>43464</v>
      </c>
      <c r="C1146">
        <v>12</v>
      </c>
      <c r="D1146" s="1" t="s">
        <v>42</v>
      </c>
      <c r="E1146" s="1" t="s">
        <v>11</v>
      </c>
      <c r="F1146" s="1" t="s">
        <v>12</v>
      </c>
      <c r="G1146" s="1" t="s">
        <v>32</v>
      </c>
      <c r="H1146">
        <v>399</v>
      </c>
      <c r="I1146">
        <v>8</v>
      </c>
      <c r="J1146">
        <v>3192</v>
      </c>
    </row>
    <row r="1147" spans="1:10" x14ac:dyDescent="0.25">
      <c r="A1147">
        <v>1146</v>
      </c>
      <c r="B1147" s="2">
        <v>43465</v>
      </c>
      <c r="C1147">
        <v>4</v>
      </c>
      <c r="D1147" s="1" t="s">
        <v>37</v>
      </c>
      <c r="E1147" s="1" t="s">
        <v>15</v>
      </c>
      <c r="F1147" s="1" t="s">
        <v>16</v>
      </c>
      <c r="G1147" s="1" t="s">
        <v>13</v>
      </c>
      <c r="H1147">
        <v>199</v>
      </c>
      <c r="I1147">
        <v>8</v>
      </c>
      <c r="J1147">
        <v>1592</v>
      </c>
    </row>
    <row r="1148" spans="1:10" x14ac:dyDescent="0.25">
      <c r="A1148">
        <v>1147</v>
      </c>
      <c r="B1148" s="2">
        <v>43466</v>
      </c>
      <c r="C1148">
        <v>20</v>
      </c>
      <c r="D1148" s="1" t="s">
        <v>31</v>
      </c>
      <c r="E1148" s="1" t="s">
        <v>29</v>
      </c>
      <c r="F1148" s="1" t="s">
        <v>24</v>
      </c>
      <c r="G1148" s="1" t="s">
        <v>32</v>
      </c>
      <c r="H1148">
        <v>399</v>
      </c>
      <c r="I1148">
        <v>4</v>
      </c>
      <c r="J1148">
        <v>1596</v>
      </c>
    </row>
    <row r="1149" spans="1:10" x14ac:dyDescent="0.25">
      <c r="A1149">
        <v>1148</v>
      </c>
      <c r="B1149" s="2">
        <v>43467</v>
      </c>
      <c r="C1149">
        <v>19</v>
      </c>
      <c r="D1149" s="1" t="s">
        <v>38</v>
      </c>
      <c r="E1149" s="1" t="s">
        <v>29</v>
      </c>
      <c r="F1149" s="1" t="s">
        <v>24</v>
      </c>
      <c r="G1149" s="1" t="s">
        <v>13</v>
      </c>
      <c r="H1149">
        <v>199</v>
      </c>
      <c r="I1149">
        <v>0</v>
      </c>
      <c r="J1149">
        <v>0</v>
      </c>
    </row>
    <row r="1150" spans="1:10" x14ac:dyDescent="0.25">
      <c r="A1150">
        <v>1149</v>
      </c>
      <c r="B1150" s="2">
        <v>43467</v>
      </c>
      <c r="C1150">
        <v>10</v>
      </c>
      <c r="D1150" s="1" t="s">
        <v>39</v>
      </c>
      <c r="E1150" s="1" t="s">
        <v>19</v>
      </c>
      <c r="F1150" s="1" t="s">
        <v>20</v>
      </c>
      <c r="G1150" s="1" t="s">
        <v>21</v>
      </c>
      <c r="H1150">
        <v>159</v>
      </c>
      <c r="I1150">
        <v>7</v>
      </c>
      <c r="J1150">
        <v>1113</v>
      </c>
    </row>
    <row r="1151" spans="1:10" x14ac:dyDescent="0.25">
      <c r="A1151">
        <v>1150</v>
      </c>
      <c r="B1151" s="2">
        <v>43467</v>
      </c>
      <c r="C1151">
        <v>5</v>
      </c>
      <c r="D1151" s="1" t="s">
        <v>40</v>
      </c>
      <c r="E1151" s="1" t="s">
        <v>43</v>
      </c>
      <c r="F1151" s="1" t="s">
        <v>16</v>
      </c>
      <c r="G1151" s="1" t="s">
        <v>21</v>
      </c>
      <c r="H1151">
        <v>159</v>
      </c>
      <c r="I1151">
        <v>0</v>
      </c>
      <c r="J1151">
        <v>0</v>
      </c>
    </row>
    <row r="1152" spans="1:10" x14ac:dyDescent="0.25">
      <c r="A1152">
        <v>1151</v>
      </c>
      <c r="B1152" s="2">
        <v>43468</v>
      </c>
      <c r="C1152">
        <v>1</v>
      </c>
      <c r="D1152" s="1" t="s">
        <v>14</v>
      </c>
      <c r="E1152" s="1" t="s">
        <v>43</v>
      </c>
      <c r="F1152" s="1" t="s">
        <v>16</v>
      </c>
      <c r="G1152" s="1" t="s">
        <v>17</v>
      </c>
      <c r="H1152">
        <v>289</v>
      </c>
      <c r="I1152">
        <v>4</v>
      </c>
      <c r="J1152">
        <v>1156</v>
      </c>
    </row>
    <row r="1153" spans="1:10" x14ac:dyDescent="0.25">
      <c r="A1153">
        <v>1152</v>
      </c>
      <c r="B1153" s="2">
        <v>43468</v>
      </c>
      <c r="C1153">
        <v>1</v>
      </c>
      <c r="D1153" s="1" t="s">
        <v>14</v>
      </c>
      <c r="E1153" s="1" t="s">
        <v>43</v>
      </c>
      <c r="F1153" s="1" t="s">
        <v>16</v>
      </c>
      <c r="G1153" s="1" t="s">
        <v>26</v>
      </c>
      <c r="H1153">
        <v>69</v>
      </c>
      <c r="I1153">
        <v>7</v>
      </c>
      <c r="J1153">
        <v>483</v>
      </c>
    </row>
    <row r="1154" spans="1:10" x14ac:dyDescent="0.25">
      <c r="A1154">
        <v>1153</v>
      </c>
      <c r="B1154" s="2">
        <v>43469</v>
      </c>
      <c r="C1154">
        <v>20</v>
      </c>
      <c r="D1154" s="1" t="s">
        <v>31</v>
      </c>
      <c r="E1154" s="1" t="s">
        <v>29</v>
      </c>
      <c r="F1154" s="1" t="s">
        <v>24</v>
      </c>
      <c r="G1154" s="1" t="s">
        <v>21</v>
      </c>
      <c r="H1154">
        <v>159</v>
      </c>
      <c r="I1154">
        <v>2</v>
      </c>
      <c r="J1154">
        <v>318</v>
      </c>
    </row>
    <row r="1155" spans="1:10" x14ac:dyDescent="0.25">
      <c r="A1155">
        <v>1154</v>
      </c>
      <c r="B1155" s="2">
        <v>43470</v>
      </c>
      <c r="C1155">
        <v>4</v>
      </c>
      <c r="D1155" s="1" t="s">
        <v>37</v>
      </c>
      <c r="E1155" s="1" t="s">
        <v>43</v>
      </c>
      <c r="F1155" s="1" t="s">
        <v>16</v>
      </c>
      <c r="G1155" s="1" t="s">
        <v>26</v>
      </c>
      <c r="H1155">
        <v>69</v>
      </c>
      <c r="I1155">
        <v>1</v>
      </c>
      <c r="J1155">
        <v>69</v>
      </c>
    </row>
    <row r="1156" spans="1:10" x14ac:dyDescent="0.25">
      <c r="A1156">
        <v>1155</v>
      </c>
      <c r="B1156" s="2">
        <v>43470</v>
      </c>
      <c r="C1156">
        <v>12</v>
      </c>
      <c r="D1156" s="1" t="s">
        <v>42</v>
      </c>
      <c r="E1156" s="1" t="s">
        <v>11</v>
      </c>
      <c r="F1156" s="1" t="s">
        <v>12</v>
      </c>
      <c r="G1156" s="1" t="s">
        <v>26</v>
      </c>
      <c r="H1156">
        <v>69</v>
      </c>
      <c r="I1156">
        <v>5</v>
      </c>
      <c r="J1156">
        <v>345</v>
      </c>
    </row>
    <row r="1157" spans="1:10" x14ac:dyDescent="0.25">
      <c r="A1157">
        <v>1156</v>
      </c>
      <c r="B1157" s="2">
        <v>43470</v>
      </c>
      <c r="C1157">
        <v>15</v>
      </c>
      <c r="D1157" s="1" t="s">
        <v>46</v>
      </c>
      <c r="E1157" s="1" t="s">
        <v>41</v>
      </c>
      <c r="F1157" s="1" t="s">
        <v>12</v>
      </c>
      <c r="G1157" s="1" t="s">
        <v>17</v>
      </c>
      <c r="H1157">
        <v>289</v>
      </c>
      <c r="I1157">
        <v>0</v>
      </c>
      <c r="J1157">
        <v>0</v>
      </c>
    </row>
    <row r="1158" spans="1:10" x14ac:dyDescent="0.25">
      <c r="A1158">
        <v>1157</v>
      </c>
      <c r="B1158" s="2">
        <v>43470</v>
      </c>
      <c r="C1158">
        <v>17</v>
      </c>
      <c r="D1158" s="1" t="s">
        <v>28</v>
      </c>
      <c r="E1158" s="1" t="s">
        <v>23</v>
      </c>
      <c r="F1158" s="1" t="s">
        <v>24</v>
      </c>
      <c r="G1158" s="1" t="s">
        <v>26</v>
      </c>
      <c r="H1158">
        <v>69</v>
      </c>
      <c r="I1158">
        <v>6</v>
      </c>
      <c r="J1158">
        <v>414</v>
      </c>
    </row>
    <row r="1159" spans="1:10" x14ac:dyDescent="0.25">
      <c r="A1159">
        <v>1158</v>
      </c>
      <c r="B1159" s="2">
        <v>43470</v>
      </c>
      <c r="C1159">
        <v>17</v>
      </c>
      <c r="D1159" s="1" t="s">
        <v>28</v>
      </c>
      <c r="E1159" s="1" t="s">
        <v>23</v>
      </c>
      <c r="F1159" s="1" t="s">
        <v>24</v>
      </c>
      <c r="G1159" s="1" t="s">
        <v>13</v>
      </c>
      <c r="H1159">
        <v>199</v>
      </c>
      <c r="I1159">
        <v>6</v>
      </c>
      <c r="J1159">
        <v>1194</v>
      </c>
    </row>
    <row r="1160" spans="1:10" x14ac:dyDescent="0.25">
      <c r="A1160">
        <v>1159</v>
      </c>
      <c r="B1160" s="2">
        <v>43471</v>
      </c>
      <c r="C1160">
        <v>7</v>
      </c>
      <c r="D1160" s="1" t="s">
        <v>44</v>
      </c>
      <c r="E1160" s="1" t="s">
        <v>35</v>
      </c>
      <c r="F1160" s="1" t="s">
        <v>20</v>
      </c>
      <c r="G1160" s="1" t="s">
        <v>21</v>
      </c>
      <c r="H1160">
        <v>159</v>
      </c>
      <c r="I1160">
        <v>1</v>
      </c>
      <c r="J1160">
        <v>159</v>
      </c>
    </row>
    <row r="1161" spans="1:10" x14ac:dyDescent="0.25">
      <c r="A1161">
        <v>1160</v>
      </c>
      <c r="B1161" s="2">
        <v>43471</v>
      </c>
      <c r="C1161">
        <v>20</v>
      </c>
      <c r="D1161" s="1" t="s">
        <v>31</v>
      </c>
      <c r="E1161" s="1" t="s">
        <v>29</v>
      </c>
      <c r="F1161" s="1" t="s">
        <v>24</v>
      </c>
      <c r="G1161" s="1" t="s">
        <v>13</v>
      </c>
      <c r="H1161">
        <v>199</v>
      </c>
      <c r="I1161">
        <v>0</v>
      </c>
      <c r="J1161">
        <v>0</v>
      </c>
    </row>
    <row r="1162" spans="1:10" x14ac:dyDescent="0.25">
      <c r="A1162">
        <v>1161</v>
      </c>
      <c r="B1162" s="2">
        <v>43471</v>
      </c>
      <c r="C1162">
        <v>10</v>
      </c>
      <c r="D1162" s="1" t="s">
        <v>39</v>
      </c>
      <c r="E1162" s="1" t="s">
        <v>35</v>
      </c>
      <c r="F1162" s="1" t="s">
        <v>20</v>
      </c>
      <c r="G1162" s="1" t="s">
        <v>17</v>
      </c>
      <c r="H1162">
        <v>289</v>
      </c>
      <c r="I1162">
        <v>3</v>
      </c>
      <c r="J1162">
        <v>867</v>
      </c>
    </row>
    <row r="1163" spans="1:10" x14ac:dyDescent="0.25">
      <c r="A1163">
        <v>1162</v>
      </c>
      <c r="B1163" s="2">
        <v>43471</v>
      </c>
      <c r="C1163">
        <v>15</v>
      </c>
      <c r="D1163" s="1" t="s">
        <v>46</v>
      </c>
      <c r="E1163" s="1" t="s">
        <v>41</v>
      </c>
      <c r="F1163" s="1" t="s">
        <v>12</v>
      </c>
      <c r="G1163" s="1" t="s">
        <v>13</v>
      </c>
      <c r="H1163">
        <v>199</v>
      </c>
      <c r="I1163">
        <v>7</v>
      </c>
      <c r="J1163">
        <v>1393</v>
      </c>
    </row>
    <row r="1164" spans="1:10" x14ac:dyDescent="0.25">
      <c r="A1164">
        <v>1163</v>
      </c>
      <c r="B1164" s="2">
        <v>43472</v>
      </c>
      <c r="C1164">
        <v>17</v>
      </c>
      <c r="D1164" s="1" t="s">
        <v>28</v>
      </c>
      <c r="E1164" s="1" t="s">
        <v>29</v>
      </c>
      <c r="F1164" s="1" t="s">
        <v>24</v>
      </c>
      <c r="G1164" s="1" t="s">
        <v>13</v>
      </c>
      <c r="H1164">
        <v>199</v>
      </c>
      <c r="I1164">
        <v>0</v>
      </c>
      <c r="J1164">
        <v>0</v>
      </c>
    </row>
    <row r="1165" spans="1:10" x14ac:dyDescent="0.25">
      <c r="A1165">
        <v>1164</v>
      </c>
      <c r="B1165" s="2">
        <v>43472</v>
      </c>
      <c r="C1165">
        <v>7</v>
      </c>
      <c r="D1165" s="1" t="s">
        <v>44</v>
      </c>
      <c r="E1165" s="1" t="s">
        <v>19</v>
      </c>
      <c r="F1165" s="1" t="s">
        <v>20</v>
      </c>
      <c r="G1165" s="1" t="s">
        <v>26</v>
      </c>
      <c r="H1165">
        <v>69</v>
      </c>
      <c r="I1165">
        <v>6</v>
      </c>
      <c r="J1165">
        <v>414</v>
      </c>
    </row>
    <row r="1166" spans="1:10" x14ac:dyDescent="0.25">
      <c r="A1166">
        <v>1165</v>
      </c>
      <c r="B1166" s="2">
        <v>43472</v>
      </c>
      <c r="C1166">
        <v>6</v>
      </c>
      <c r="D1166" s="1" t="s">
        <v>36</v>
      </c>
      <c r="E1166" s="1" t="s">
        <v>19</v>
      </c>
      <c r="F1166" s="1" t="s">
        <v>20</v>
      </c>
      <c r="G1166" s="1" t="s">
        <v>13</v>
      </c>
      <c r="H1166">
        <v>199</v>
      </c>
      <c r="I1166">
        <v>1</v>
      </c>
      <c r="J1166">
        <v>199</v>
      </c>
    </row>
    <row r="1167" spans="1:10" x14ac:dyDescent="0.25">
      <c r="A1167">
        <v>1166</v>
      </c>
      <c r="B1167" s="2">
        <v>43472</v>
      </c>
      <c r="C1167">
        <v>13</v>
      </c>
      <c r="D1167" s="1" t="s">
        <v>27</v>
      </c>
      <c r="E1167" s="1" t="s">
        <v>41</v>
      </c>
      <c r="F1167" s="1" t="s">
        <v>12</v>
      </c>
      <c r="G1167" s="1" t="s">
        <v>17</v>
      </c>
      <c r="H1167">
        <v>289</v>
      </c>
      <c r="I1167">
        <v>9</v>
      </c>
      <c r="J1167">
        <v>2601</v>
      </c>
    </row>
    <row r="1168" spans="1:10" x14ac:dyDescent="0.25">
      <c r="A1168">
        <v>1167</v>
      </c>
      <c r="B1168" s="2">
        <v>43473</v>
      </c>
      <c r="C1168">
        <v>13</v>
      </c>
      <c r="D1168" s="1" t="s">
        <v>27</v>
      </c>
      <c r="E1168" s="1" t="s">
        <v>41</v>
      </c>
      <c r="F1168" s="1" t="s">
        <v>12</v>
      </c>
      <c r="G1168" s="1" t="s">
        <v>26</v>
      </c>
      <c r="H1168">
        <v>69</v>
      </c>
      <c r="I1168">
        <v>9</v>
      </c>
      <c r="J1168">
        <v>621</v>
      </c>
    </row>
    <row r="1169" spans="1:10" x14ac:dyDescent="0.25">
      <c r="A1169">
        <v>1168</v>
      </c>
      <c r="B1169" s="2">
        <v>43473</v>
      </c>
      <c r="C1169">
        <v>3</v>
      </c>
      <c r="D1169" s="1" t="s">
        <v>33</v>
      </c>
      <c r="E1169" s="1" t="s">
        <v>43</v>
      </c>
      <c r="F1169" s="1" t="s">
        <v>16</v>
      </c>
      <c r="G1169" s="1" t="s">
        <v>21</v>
      </c>
      <c r="H1169">
        <v>159</v>
      </c>
      <c r="I1169">
        <v>6</v>
      </c>
      <c r="J1169">
        <v>954</v>
      </c>
    </row>
    <row r="1170" spans="1:10" x14ac:dyDescent="0.25">
      <c r="A1170">
        <v>1169</v>
      </c>
      <c r="B1170" s="2">
        <v>43473</v>
      </c>
      <c r="C1170">
        <v>13</v>
      </c>
      <c r="D1170" s="1" t="s">
        <v>27</v>
      </c>
      <c r="E1170" s="1" t="s">
        <v>41</v>
      </c>
      <c r="F1170" s="1" t="s">
        <v>12</v>
      </c>
      <c r="G1170" s="1" t="s">
        <v>26</v>
      </c>
      <c r="H1170">
        <v>69</v>
      </c>
      <c r="I1170">
        <v>6</v>
      </c>
      <c r="J1170">
        <v>414</v>
      </c>
    </row>
    <row r="1171" spans="1:10" x14ac:dyDescent="0.25">
      <c r="A1171">
        <v>1170</v>
      </c>
      <c r="B1171" s="2">
        <v>43474</v>
      </c>
      <c r="C1171">
        <v>3</v>
      </c>
      <c r="D1171" s="1" t="s">
        <v>33</v>
      </c>
      <c r="E1171" s="1" t="s">
        <v>43</v>
      </c>
      <c r="F1171" s="1" t="s">
        <v>16</v>
      </c>
      <c r="G1171" s="1" t="s">
        <v>21</v>
      </c>
      <c r="H1171">
        <v>159</v>
      </c>
      <c r="I1171">
        <v>0</v>
      </c>
      <c r="J1171">
        <v>0</v>
      </c>
    </row>
    <row r="1172" spans="1:10" x14ac:dyDescent="0.25">
      <c r="A1172">
        <v>1171</v>
      </c>
      <c r="B1172" s="2">
        <v>43475</v>
      </c>
      <c r="C1172">
        <v>14</v>
      </c>
      <c r="D1172" s="1" t="s">
        <v>30</v>
      </c>
      <c r="E1172" s="1" t="s">
        <v>11</v>
      </c>
      <c r="F1172" s="1" t="s">
        <v>12</v>
      </c>
      <c r="G1172" s="1" t="s">
        <v>13</v>
      </c>
      <c r="H1172">
        <v>199</v>
      </c>
      <c r="I1172">
        <v>7</v>
      </c>
      <c r="J1172">
        <v>1393</v>
      </c>
    </row>
    <row r="1173" spans="1:10" x14ac:dyDescent="0.25">
      <c r="A1173">
        <v>1172</v>
      </c>
      <c r="B1173" s="2">
        <v>43475</v>
      </c>
      <c r="C1173">
        <v>11</v>
      </c>
      <c r="D1173" s="1" t="s">
        <v>10</v>
      </c>
      <c r="E1173" s="1" t="s">
        <v>41</v>
      </c>
      <c r="F1173" s="1" t="s">
        <v>12</v>
      </c>
      <c r="G1173" s="1" t="s">
        <v>21</v>
      </c>
      <c r="H1173">
        <v>159</v>
      </c>
      <c r="I1173">
        <v>4</v>
      </c>
      <c r="J1173">
        <v>636</v>
      </c>
    </row>
    <row r="1174" spans="1:10" x14ac:dyDescent="0.25">
      <c r="A1174">
        <v>1173</v>
      </c>
      <c r="B1174" s="2">
        <v>43475</v>
      </c>
      <c r="C1174">
        <v>6</v>
      </c>
      <c r="D1174" s="1" t="s">
        <v>36</v>
      </c>
      <c r="E1174" s="1" t="s">
        <v>35</v>
      </c>
      <c r="F1174" s="1" t="s">
        <v>20</v>
      </c>
      <c r="G1174" s="1" t="s">
        <v>13</v>
      </c>
      <c r="H1174">
        <v>199</v>
      </c>
      <c r="I1174">
        <v>2</v>
      </c>
      <c r="J1174">
        <v>398</v>
      </c>
    </row>
    <row r="1175" spans="1:10" x14ac:dyDescent="0.25">
      <c r="A1175">
        <v>1174</v>
      </c>
      <c r="B1175" s="2">
        <v>43476</v>
      </c>
      <c r="C1175">
        <v>11</v>
      </c>
      <c r="D1175" s="1" t="s">
        <v>10</v>
      </c>
      <c r="E1175" s="1" t="s">
        <v>11</v>
      </c>
      <c r="F1175" s="1" t="s">
        <v>12</v>
      </c>
      <c r="G1175" s="1" t="s">
        <v>13</v>
      </c>
      <c r="H1175">
        <v>199</v>
      </c>
      <c r="I1175">
        <v>6</v>
      </c>
      <c r="J1175">
        <v>1194</v>
      </c>
    </row>
    <row r="1176" spans="1:10" x14ac:dyDescent="0.25">
      <c r="A1176">
        <v>1175</v>
      </c>
      <c r="B1176" s="2">
        <v>43477</v>
      </c>
      <c r="C1176">
        <v>16</v>
      </c>
      <c r="D1176" s="1" t="s">
        <v>25</v>
      </c>
      <c r="E1176" s="1" t="s">
        <v>29</v>
      </c>
      <c r="F1176" s="1" t="s">
        <v>24</v>
      </c>
      <c r="G1176" s="1" t="s">
        <v>26</v>
      </c>
      <c r="H1176">
        <v>69</v>
      </c>
      <c r="I1176">
        <v>1</v>
      </c>
      <c r="J1176">
        <v>69</v>
      </c>
    </row>
    <row r="1177" spans="1:10" x14ac:dyDescent="0.25">
      <c r="A1177">
        <v>1176</v>
      </c>
      <c r="B1177" s="2">
        <v>43477</v>
      </c>
      <c r="C1177">
        <v>8</v>
      </c>
      <c r="D1177" s="1" t="s">
        <v>34</v>
      </c>
      <c r="E1177" s="1" t="s">
        <v>19</v>
      </c>
      <c r="F1177" s="1" t="s">
        <v>20</v>
      </c>
      <c r="G1177" s="1" t="s">
        <v>26</v>
      </c>
      <c r="H1177">
        <v>69</v>
      </c>
      <c r="I1177">
        <v>1</v>
      </c>
      <c r="J1177">
        <v>69</v>
      </c>
    </row>
    <row r="1178" spans="1:10" x14ac:dyDescent="0.25">
      <c r="A1178">
        <v>1177</v>
      </c>
      <c r="B1178" s="2">
        <v>43477</v>
      </c>
      <c r="C1178">
        <v>5</v>
      </c>
      <c r="D1178" s="1" t="s">
        <v>40</v>
      </c>
      <c r="E1178" s="1" t="s">
        <v>43</v>
      </c>
      <c r="F1178" s="1" t="s">
        <v>16</v>
      </c>
      <c r="G1178" s="1" t="s">
        <v>13</v>
      </c>
      <c r="H1178">
        <v>199</v>
      </c>
      <c r="I1178">
        <v>9</v>
      </c>
      <c r="J1178">
        <v>1791</v>
      </c>
    </row>
    <row r="1179" spans="1:10" x14ac:dyDescent="0.25">
      <c r="A1179">
        <v>1178</v>
      </c>
      <c r="B1179" s="2">
        <v>43477</v>
      </c>
      <c r="C1179">
        <v>19</v>
      </c>
      <c r="D1179" s="1" t="s">
        <v>38</v>
      </c>
      <c r="E1179" s="1" t="s">
        <v>23</v>
      </c>
      <c r="F1179" s="1" t="s">
        <v>24</v>
      </c>
      <c r="G1179" s="1" t="s">
        <v>32</v>
      </c>
      <c r="H1179">
        <v>399</v>
      </c>
      <c r="I1179">
        <v>5</v>
      </c>
      <c r="J1179">
        <v>1995</v>
      </c>
    </row>
    <row r="1180" spans="1:10" x14ac:dyDescent="0.25">
      <c r="A1180">
        <v>1179</v>
      </c>
      <c r="B1180" s="2">
        <v>43477</v>
      </c>
      <c r="C1180">
        <v>10</v>
      </c>
      <c r="D1180" s="1" t="s">
        <v>39</v>
      </c>
      <c r="E1180" s="1" t="s">
        <v>35</v>
      </c>
      <c r="F1180" s="1" t="s">
        <v>20</v>
      </c>
      <c r="G1180" s="1" t="s">
        <v>32</v>
      </c>
      <c r="H1180">
        <v>399</v>
      </c>
      <c r="I1180">
        <v>7</v>
      </c>
      <c r="J1180">
        <v>2793</v>
      </c>
    </row>
    <row r="1181" spans="1:10" x14ac:dyDescent="0.25">
      <c r="A1181">
        <v>1180</v>
      </c>
      <c r="B1181" s="2">
        <v>43477</v>
      </c>
      <c r="C1181">
        <v>14</v>
      </c>
      <c r="D1181" s="1" t="s">
        <v>30</v>
      </c>
      <c r="E1181" s="1" t="s">
        <v>11</v>
      </c>
      <c r="F1181" s="1" t="s">
        <v>12</v>
      </c>
      <c r="G1181" s="1" t="s">
        <v>26</v>
      </c>
      <c r="H1181">
        <v>69</v>
      </c>
      <c r="I1181">
        <v>8</v>
      </c>
      <c r="J1181">
        <v>552</v>
      </c>
    </row>
    <row r="1182" spans="1:10" x14ac:dyDescent="0.25">
      <c r="A1182">
        <v>1181</v>
      </c>
      <c r="B1182" s="2">
        <v>43477</v>
      </c>
      <c r="C1182">
        <v>11</v>
      </c>
      <c r="D1182" s="1" t="s">
        <v>10</v>
      </c>
      <c r="E1182" s="1" t="s">
        <v>41</v>
      </c>
      <c r="F1182" s="1" t="s">
        <v>12</v>
      </c>
      <c r="G1182" s="1" t="s">
        <v>32</v>
      </c>
      <c r="H1182">
        <v>399</v>
      </c>
      <c r="I1182">
        <v>4</v>
      </c>
      <c r="J1182">
        <v>1596</v>
      </c>
    </row>
    <row r="1183" spans="1:10" x14ac:dyDescent="0.25">
      <c r="A1183">
        <v>1182</v>
      </c>
      <c r="B1183" s="2">
        <v>43478</v>
      </c>
      <c r="C1183">
        <v>15</v>
      </c>
      <c r="D1183" s="1" t="s">
        <v>46</v>
      </c>
      <c r="E1183" s="1" t="s">
        <v>41</v>
      </c>
      <c r="F1183" s="1" t="s">
        <v>12</v>
      </c>
      <c r="G1183" s="1" t="s">
        <v>17</v>
      </c>
      <c r="H1183">
        <v>289</v>
      </c>
      <c r="I1183">
        <v>2</v>
      </c>
      <c r="J1183">
        <v>578</v>
      </c>
    </row>
    <row r="1184" spans="1:10" x14ac:dyDescent="0.25">
      <c r="A1184">
        <v>1183</v>
      </c>
      <c r="B1184" s="2">
        <v>43478</v>
      </c>
      <c r="C1184">
        <v>3</v>
      </c>
      <c r="D1184" s="1" t="s">
        <v>33</v>
      </c>
      <c r="E1184" s="1" t="s">
        <v>43</v>
      </c>
      <c r="F1184" s="1" t="s">
        <v>16</v>
      </c>
      <c r="G1184" s="1" t="s">
        <v>32</v>
      </c>
      <c r="H1184">
        <v>399</v>
      </c>
      <c r="I1184">
        <v>7</v>
      </c>
      <c r="J1184">
        <v>2793</v>
      </c>
    </row>
    <row r="1185" spans="1:10" x14ac:dyDescent="0.25">
      <c r="A1185">
        <v>1184</v>
      </c>
      <c r="B1185" s="2">
        <v>43478</v>
      </c>
      <c r="C1185">
        <v>15</v>
      </c>
      <c r="D1185" s="1" t="s">
        <v>46</v>
      </c>
      <c r="E1185" s="1" t="s">
        <v>41</v>
      </c>
      <c r="F1185" s="1" t="s">
        <v>12</v>
      </c>
      <c r="G1185" s="1" t="s">
        <v>13</v>
      </c>
      <c r="H1185">
        <v>199</v>
      </c>
      <c r="I1185">
        <v>3</v>
      </c>
      <c r="J1185">
        <v>597</v>
      </c>
    </row>
    <row r="1186" spans="1:10" x14ac:dyDescent="0.25">
      <c r="A1186">
        <v>1185</v>
      </c>
      <c r="B1186" s="2">
        <v>43478</v>
      </c>
      <c r="C1186">
        <v>13</v>
      </c>
      <c r="D1186" s="1" t="s">
        <v>27</v>
      </c>
      <c r="E1186" s="1" t="s">
        <v>11</v>
      </c>
      <c r="F1186" s="1" t="s">
        <v>12</v>
      </c>
      <c r="G1186" s="1" t="s">
        <v>21</v>
      </c>
      <c r="H1186">
        <v>159</v>
      </c>
      <c r="I1186">
        <v>0</v>
      </c>
      <c r="J1186">
        <v>0</v>
      </c>
    </row>
    <row r="1187" spans="1:10" x14ac:dyDescent="0.25">
      <c r="A1187">
        <v>1186</v>
      </c>
      <c r="B1187" s="2">
        <v>43478</v>
      </c>
      <c r="C1187">
        <v>3</v>
      </c>
      <c r="D1187" s="1" t="s">
        <v>33</v>
      </c>
      <c r="E1187" s="1" t="s">
        <v>43</v>
      </c>
      <c r="F1187" s="1" t="s">
        <v>16</v>
      </c>
      <c r="G1187" s="1" t="s">
        <v>21</v>
      </c>
      <c r="H1187">
        <v>159</v>
      </c>
      <c r="I1187">
        <v>4</v>
      </c>
      <c r="J1187">
        <v>636</v>
      </c>
    </row>
    <row r="1188" spans="1:10" x14ac:dyDescent="0.25">
      <c r="A1188">
        <v>1187</v>
      </c>
      <c r="B1188" s="2">
        <v>43478</v>
      </c>
      <c r="C1188">
        <v>4</v>
      </c>
      <c r="D1188" s="1" t="s">
        <v>37</v>
      </c>
      <c r="E1188" s="1" t="s">
        <v>43</v>
      </c>
      <c r="F1188" s="1" t="s">
        <v>16</v>
      </c>
      <c r="G1188" s="1" t="s">
        <v>32</v>
      </c>
      <c r="H1188">
        <v>399</v>
      </c>
      <c r="I1188">
        <v>2</v>
      </c>
      <c r="J1188">
        <v>798</v>
      </c>
    </row>
    <row r="1189" spans="1:10" x14ac:dyDescent="0.25">
      <c r="A1189">
        <v>1188</v>
      </c>
      <c r="B1189" s="2">
        <v>43478</v>
      </c>
      <c r="C1189">
        <v>8</v>
      </c>
      <c r="D1189" s="1" t="s">
        <v>34</v>
      </c>
      <c r="E1189" s="1" t="s">
        <v>19</v>
      </c>
      <c r="F1189" s="1" t="s">
        <v>20</v>
      </c>
      <c r="G1189" s="1" t="s">
        <v>21</v>
      </c>
      <c r="H1189">
        <v>159</v>
      </c>
      <c r="I1189">
        <v>6</v>
      </c>
      <c r="J1189">
        <v>954</v>
      </c>
    </row>
    <row r="1190" spans="1:10" x14ac:dyDescent="0.25">
      <c r="A1190">
        <v>1189</v>
      </c>
      <c r="B1190" s="2">
        <v>43478</v>
      </c>
      <c r="C1190">
        <v>12</v>
      </c>
      <c r="D1190" s="1" t="s">
        <v>42</v>
      </c>
      <c r="E1190" s="1" t="s">
        <v>11</v>
      </c>
      <c r="F1190" s="1" t="s">
        <v>12</v>
      </c>
      <c r="G1190" s="1" t="s">
        <v>26</v>
      </c>
      <c r="H1190">
        <v>69</v>
      </c>
      <c r="I1190">
        <v>4</v>
      </c>
      <c r="J1190">
        <v>276</v>
      </c>
    </row>
    <row r="1191" spans="1:10" x14ac:dyDescent="0.25">
      <c r="A1191">
        <v>1190</v>
      </c>
      <c r="B1191" s="2">
        <v>43478</v>
      </c>
      <c r="C1191">
        <v>2</v>
      </c>
      <c r="D1191" s="1" t="s">
        <v>45</v>
      </c>
      <c r="E1191" s="1" t="s">
        <v>15</v>
      </c>
      <c r="F1191" s="1" t="s">
        <v>16</v>
      </c>
      <c r="G1191" s="1" t="s">
        <v>32</v>
      </c>
      <c r="H1191">
        <v>399</v>
      </c>
      <c r="I1191">
        <v>4</v>
      </c>
      <c r="J1191">
        <v>1596</v>
      </c>
    </row>
    <row r="1192" spans="1:10" x14ac:dyDescent="0.25">
      <c r="A1192">
        <v>1191</v>
      </c>
      <c r="B1192" s="2">
        <v>43478</v>
      </c>
      <c r="C1192">
        <v>18</v>
      </c>
      <c r="D1192" s="1" t="s">
        <v>22</v>
      </c>
      <c r="E1192" s="1" t="s">
        <v>29</v>
      </c>
      <c r="F1192" s="1" t="s">
        <v>24</v>
      </c>
      <c r="G1192" s="1" t="s">
        <v>32</v>
      </c>
      <c r="H1192">
        <v>399</v>
      </c>
      <c r="I1192">
        <v>1</v>
      </c>
      <c r="J1192">
        <v>399</v>
      </c>
    </row>
    <row r="1193" spans="1:10" x14ac:dyDescent="0.25">
      <c r="A1193">
        <v>1192</v>
      </c>
      <c r="B1193" s="2">
        <v>43479</v>
      </c>
      <c r="C1193">
        <v>10</v>
      </c>
      <c r="D1193" s="1" t="s">
        <v>39</v>
      </c>
      <c r="E1193" s="1" t="s">
        <v>35</v>
      </c>
      <c r="F1193" s="1" t="s">
        <v>20</v>
      </c>
      <c r="G1193" s="1" t="s">
        <v>21</v>
      </c>
      <c r="H1193">
        <v>159</v>
      </c>
      <c r="I1193">
        <v>3</v>
      </c>
      <c r="J1193">
        <v>477</v>
      </c>
    </row>
    <row r="1194" spans="1:10" x14ac:dyDescent="0.25">
      <c r="A1194">
        <v>1193</v>
      </c>
      <c r="B1194" s="2">
        <v>43479</v>
      </c>
      <c r="C1194">
        <v>3</v>
      </c>
      <c r="D1194" s="1" t="s">
        <v>33</v>
      </c>
      <c r="E1194" s="1" t="s">
        <v>43</v>
      </c>
      <c r="F1194" s="1" t="s">
        <v>16</v>
      </c>
      <c r="G1194" s="1" t="s">
        <v>26</v>
      </c>
      <c r="H1194">
        <v>69</v>
      </c>
      <c r="I1194">
        <v>0</v>
      </c>
      <c r="J1194">
        <v>0</v>
      </c>
    </row>
    <row r="1195" spans="1:10" x14ac:dyDescent="0.25">
      <c r="A1195">
        <v>1194</v>
      </c>
      <c r="B1195" s="2">
        <v>43479</v>
      </c>
      <c r="C1195">
        <v>12</v>
      </c>
      <c r="D1195" s="1" t="s">
        <v>42</v>
      </c>
      <c r="E1195" s="1" t="s">
        <v>41</v>
      </c>
      <c r="F1195" s="1" t="s">
        <v>12</v>
      </c>
      <c r="G1195" s="1" t="s">
        <v>17</v>
      </c>
      <c r="H1195">
        <v>289</v>
      </c>
      <c r="I1195">
        <v>7</v>
      </c>
      <c r="J1195">
        <v>2023</v>
      </c>
    </row>
    <row r="1196" spans="1:10" x14ac:dyDescent="0.25">
      <c r="A1196">
        <v>1195</v>
      </c>
      <c r="B1196" s="2">
        <v>43479</v>
      </c>
      <c r="C1196">
        <v>19</v>
      </c>
      <c r="D1196" s="1" t="s">
        <v>38</v>
      </c>
      <c r="E1196" s="1" t="s">
        <v>23</v>
      </c>
      <c r="F1196" s="1" t="s">
        <v>24</v>
      </c>
      <c r="G1196" s="1" t="s">
        <v>32</v>
      </c>
      <c r="H1196">
        <v>399</v>
      </c>
      <c r="I1196">
        <v>8</v>
      </c>
      <c r="J1196">
        <v>3192</v>
      </c>
    </row>
    <row r="1197" spans="1:10" x14ac:dyDescent="0.25">
      <c r="A1197">
        <v>1196</v>
      </c>
      <c r="B1197" s="2">
        <v>43480</v>
      </c>
      <c r="C1197">
        <v>16</v>
      </c>
      <c r="D1197" s="1" t="s">
        <v>25</v>
      </c>
      <c r="E1197" s="1" t="s">
        <v>29</v>
      </c>
      <c r="F1197" s="1" t="s">
        <v>24</v>
      </c>
      <c r="G1197" s="1" t="s">
        <v>17</v>
      </c>
      <c r="H1197">
        <v>289</v>
      </c>
      <c r="I1197">
        <v>9</v>
      </c>
      <c r="J1197">
        <v>2601</v>
      </c>
    </row>
    <row r="1198" spans="1:10" x14ac:dyDescent="0.25">
      <c r="A1198">
        <v>1197</v>
      </c>
      <c r="B1198" s="2">
        <v>43481</v>
      </c>
      <c r="C1198">
        <v>6</v>
      </c>
      <c r="D1198" s="1" t="s">
        <v>36</v>
      </c>
      <c r="E1198" s="1" t="s">
        <v>19</v>
      </c>
      <c r="F1198" s="1" t="s">
        <v>20</v>
      </c>
      <c r="G1198" s="1" t="s">
        <v>13</v>
      </c>
      <c r="H1198">
        <v>199</v>
      </c>
      <c r="I1198">
        <v>2</v>
      </c>
      <c r="J1198">
        <v>398</v>
      </c>
    </row>
    <row r="1199" spans="1:10" x14ac:dyDescent="0.25">
      <c r="A1199">
        <v>1198</v>
      </c>
      <c r="B1199" s="2">
        <v>43481</v>
      </c>
      <c r="C1199">
        <v>16</v>
      </c>
      <c r="D1199" s="1" t="s">
        <v>25</v>
      </c>
      <c r="E1199" s="1" t="s">
        <v>29</v>
      </c>
      <c r="F1199" s="1" t="s">
        <v>24</v>
      </c>
      <c r="G1199" s="1" t="s">
        <v>26</v>
      </c>
      <c r="H1199">
        <v>69</v>
      </c>
      <c r="I1199">
        <v>9</v>
      </c>
      <c r="J1199">
        <v>621</v>
      </c>
    </row>
    <row r="1200" spans="1:10" x14ac:dyDescent="0.25">
      <c r="A1200">
        <v>1199</v>
      </c>
      <c r="B1200" s="2">
        <v>43481</v>
      </c>
      <c r="C1200">
        <v>16</v>
      </c>
      <c r="D1200" s="1" t="s">
        <v>25</v>
      </c>
      <c r="E1200" s="1" t="s">
        <v>29</v>
      </c>
      <c r="F1200" s="1" t="s">
        <v>24</v>
      </c>
      <c r="G1200" s="1" t="s">
        <v>26</v>
      </c>
      <c r="H1200">
        <v>69</v>
      </c>
      <c r="I1200">
        <v>5</v>
      </c>
      <c r="J1200">
        <v>345</v>
      </c>
    </row>
    <row r="1201" spans="1:10" x14ac:dyDescent="0.25">
      <c r="A1201">
        <v>1200</v>
      </c>
      <c r="B1201" s="2">
        <v>43481</v>
      </c>
      <c r="C1201">
        <v>16</v>
      </c>
      <c r="D1201" s="1" t="s">
        <v>25</v>
      </c>
      <c r="E1201" s="1" t="s">
        <v>23</v>
      </c>
      <c r="F1201" s="1" t="s">
        <v>24</v>
      </c>
      <c r="G1201" s="1" t="s">
        <v>26</v>
      </c>
      <c r="H1201">
        <v>69</v>
      </c>
      <c r="I1201">
        <v>2</v>
      </c>
      <c r="J1201">
        <v>138</v>
      </c>
    </row>
    <row r="1202" spans="1:10" x14ac:dyDescent="0.25">
      <c r="A1202">
        <v>1201</v>
      </c>
      <c r="B1202" s="2">
        <v>43482</v>
      </c>
      <c r="C1202">
        <v>16</v>
      </c>
      <c r="D1202" s="1" t="s">
        <v>25</v>
      </c>
      <c r="E1202" s="1" t="s">
        <v>23</v>
      </c>
      <c r="F1202" s="1" t="s">
        <v>24</v>
      </c>
      <c r="G1202" s="1" t="s">
        <v>26</v>
      </c>
      <c r="H1202">
        <v>69</v>
      </c>
      <c r="I1202">
        <v>1</v>
      </c>
      <c r="J1202">
        <v>69</v>
      </c>
    </row>
    <row r="1203" spans="1:10" x14ac:dyDescent="0.25">
      <c r="A1203">
        <v>1202</v>
      </c>
      <c r="B1203" s="2">
        <v>43482</v>
      </c>
      <c r="C1203">
        <v>18</v>
      </c>
      <c r="D1203" s="1" t="s">
        <v>22</v>
      </c>
      <c r="E1203" s="1" t="s">
        <v>29</v>
      </c>
      <c r="F1203" s="1" t="s">
        <v>24</v>
      </c>
      <c r="G1203" s="1" t="s">
        <v>17</v>
      </c>
      <c r="H1203">
        <v>289</v>
      </c>
      <c r="I1203">
        <v>2</v>
      </c>
      <c r="J1203">
        <v>578</v>
      </c>
    </row>
    <row r="1204" spans="1:10" x14ac:dyDescent="0.25">
      <c r="A1204">
        <v>1203</v>
      </c>
      <c r="B1204" s="2">
        <v>43482</v>
      </c>
      <c r="C1204">
        <v>14</v>
      </c>
      <c r="D1204" s="1" t="s">
        <v>30</v>
      </c>
      <c r="E1204" s="1" t="s">
        <v>11</v>
      </c>
      <c r="F1204" s="1" t="s">
        <v>12</v>
      </c>
      <c r="G1204" s="1" t="s">
        <v>32</v>
      </c>
      <c r="H1204">
        <v>399</v>
      </c>
      <c r="I1204">
        <v>2</v>
      </c>
      <c r="J1204">
        <v>798</v>
      </c>
    </row>
    <row r="1205" spans="1:10" x14ac:dyDescent="0.25">
      <c r="A1205">
        <v>1204</v>
      </c>
      <c r="B1205" s="2">
        <v>43482</v>
      </c>
      <c r="C1205">
        <v>5</v>
      </c>
      <c r="D1205" s="1" t="s">
        <v>40</v>
      </c>
      <c r="E1205" s="1" t="s">
        <v>15</v>
      </c>
      <c r="F1205" s="1" t="s">
        <v>16</v>
      </c>
      <c r="G1205" s="1" t="s">
        <v>26</v>
      </c>
      <c r="H1205">
        <v>69</v>
      </c>
      <c r="I1205">
        <v>3</v>
      </c>
      <c r="J1205">
        <v>207</v>
      </c>
    </row>
    <row r="1206" spans="1:10" x14ac:dyDescent="0.25">
      <c r="A1206">
        <v>1205</v>
      </c>
      <c r="B1206" s="2">
        <v>43482</v>
      </c>
      <c r="C1206">
        <v>7</v>
      </c>
      <c r="D1206" s="1" t="s">
        <v>44</v>
      </c>
      <c r="E1206" s="1" t="s">
        <v>19</v>
      </c>
      <c r="F1206" s="1" t="s">
        <v>20</v>
      </c>
      <c r="G1206" s="1" t="s">
        <v>17</v>
      </c>
      <c r="H1206">
        <v>289</v>
      </c>
      <c r="I1206">
        <v>5</v>
      </c>
      <c r="J1206">
        <v>1445</v>
      </c>
    </row>
    <row r="1207" spans="1:10" x14ac:dyDescent="0.25">
      <c r="A1207">
        <v>1206</v>
      </c>
      <c r="B1207" s="2">
        <v>43482</v>
      </c>
      <c r="C1207">
        <v>17</v>
      </c>
      <c r="D1207" s="1" t="s">
        <v>28</v>
      </c>
      <c r="E1207" s="1" t="s">
        <v>23</v>
      </c>
      <c r="F1207" s="1" t="s">
        <v>24</v>
      </c>
      <c r="G1207" s="1" t="s">
        <v>26</v>
      </c>
      <c r="H1207">
        <v>69</v>
      </c>
      <c r="I1207">
        <v>6</v>
      </c>
      <c r="J1207">
        <v>414</v>
      </c>
    </row>
    <row r="1208" spans="1:10" x14ac:dyDescent="0.25">
      <c r="A1208">
        <v>1207</v>
      </c>
      <c r="B1208" s="2">
        <v>43482</v>
      </c>
      <c r="C1208">
        <v>10</v>
      </c>
      <c r="D1208" s="1" t="s">
        <v>39</v>
      </c>
      <c r="E1208" s="1" t="s">
        <v>35</v>
      </c>
      <c r="F1208" s="1" t="s">
        <v>20</v>
      </c>
      <c r="G1208" s="1" t="s">
        <v>21</v>
      </c>
      <c r="H1208">
        <v>159</v>
      </c>
      <c r="I1208">
        <v>3</v>
      </c>
      <c r="J1208">
        <v>477</v>
      </c>
    </row>
    <row r="1209" spans="1:10" x14ac:dyDescent="0.25">
      <c r="A1209">
        <v>1208</v>
      </c>
      <c r="B1209" s="2">
        <v>43483</v>
      </c>
      <c r="C1209">
        <v>7</v>
      </c>
      <c r="D1209" s="1" t="s">
        <v>44</v>
      </c>
      <c r="E1209" s="1" t="s">
        <v>19</v>
      </c>
      <c r="F1209" s="1" t="s">
        <v>20</v>
      </c>
      <c r="G1209" s="1" t="s">
        <v>32</v>
      </c>
      <c r="H1209">
        <v>399</v>
      </c>
      <c r="I1209">
        <v>6</v>
      </c>
      <c r="J1209">
        <v>2394</v>
      </c>
    </row>
    <row r="1210" spans="1:10" x14ac:dyDescent="0.25">
      <c r="A1210">
        <v>1209</v>
      </c>
      <c r="B1210" s="2">
        <v>43483</v>
      </c>
      <c r="C1210">
        <v>12</v>
      </c>
      <c r="D1210" s="1" t="s">
        <v>42</v>
      </c>
      <c r="E1210" s="1" t="s">
        <v>41</v>
      </c>
      <c r="F1210" s="1" t="s">
        <v>12</v>
      </c>
      <c r="G1210" s="1" t="s">
        <v>32</v>
      </c>
      <c r="H1210">
        <v>399</v>
      </c>
      <c r="I1210">
        <v>3</v>
      </c>
      <c r="J1210">
        <v>1197</v>
      </c>
    </row>
    <row r="1211" spans="1:10" x14ac:dyDescent="0.25">
      <c r="A1211">
        <v>1210</v>
      </c>
      <c r="B1211" s="2">
        <v>43483</v>
      </c>
      <c r="C1211">
        <v>11</v>
      </c>
      <c r="D1211" s="1" t="s">
        <v>10</v>
      </c>
      <c r="E1211" s="1" t="s">
        <v>41</v>
      </c>
      <c r="F1211" s="1" t="s">
        <v>12</v>
      </c>
      <c r="G1211" s="1" t="s">
        <v>13</v>
      </c>
      <c r="H1211">
        <v>199</v>
      </c>
      <c r="I1211">
        <v>7</v>
      </c>
      <c r="J1211">
        <v>1393</v>
      </c>
    </row>
    <row r="1212" spans="1:10" x14ac:dyDescent="0.25">
      <c r="A1212">
        <v>1211</v>
      </c>
      <c r="B1212" s="2">
        <v>43484</v>
      </c>
      <c r="C1212">
        <v>9</v>
      </c>
      <c r="D1212" s="1" t="s">
        <v>18</v>
      </c>
      <c r="E1212" s="1" t="s">
        <v>35</v>
      </c>
      <c r="F1212" s="1" t="s">
        <v>20</v>
      </c>
      <c r="G1212" s="1" t="s">
        <v>21</v>
      </c>
      <c r="H1212">
        <v>159</v>
      </c>
      <c r="I1212">
        <v>7</v>
      </c>
      <c r="J1212">
        <v>1113</v>
      </c>
    </row>
    <row r="1213" spans="1:10" x14ac:dyDescent="0.25">
      <c r="A1213">
        <v>1212</v>
      </c>
      <c r="B1213" s="2">
        <v>43485</v>
      </c>
      <c r="C1213">
        <v>14</v>
      </c>
      <c r="D1213" s="1" t="s">
        <v>30</v>
      </c>
      <c r="E1213" s="1" t="s">
        <v>11</v>
      </c>
      <c r="F1213" s="1" t="s">
        <v>12</v>
      </c>
      <c r="G1213" s="1" t="s">
        <v>21</v>
      </c>
      <c r="H1213">
        <v>159</v>
      </c>
      <c r="I1213">
        <v>1</v>
      </c>
      <c r="J1213">
        <v>159</v>
      </c>
    </row>
    <row r="1214" spans="1:10" x14ac:dyDescent="0.25">
      <c r="A1214">
        <v>1213</v>
      </c>
      <c r="B1214" s="2">
        <v>43485</v>
      </c>
      <c r="C1214">
        <v>16</v>
      </c>
      <c r="D1214" s="1" t="s">
        <v>25</v>
      </c>
      <c r="E1214" s="1" t="s">
        <v>23</v>
      </c>
      <c r="F1214" s="1" t="s">
        <v>24</v>
      </c>
      <c r="G1214" s="1" t="s">
        <v>26</v>
      </c>
      <c r="H1214">
        <v>69</v>
      </c>
      <c r="I1214">
        <v>2</v>
      </c>
      <c r="J1214">
        <v>138</v>
      </c>
    </row>
    <row r="1215" spans="1:10" x14ac:dyDescent="0.25">
      <c r="A1215">
        <v>1214</v>
      </c>
      <c r="B1215" s="2">
        <v>43486</v>
      </c>
      <c r="C1215">
        <v>8</v>
      </c>
      <c r="D1215" s="1" t="s">
        <v>34</v>
      </c>
      <c r="E1215" s="1" t="s">
        <v>35</v>
      </c>
      <c r="F1215" s="1" t="s">
        <v>20</v>
      </c>
      <c r="G1215" s="1" t="s">
        <v>17</v>
      </c>
      <c r="H1215">
        <v>289</v>
      </c>
      <c r="I1215">
        <v>4</v>
      </c>
      <c r="J1215">
        <v>1156</v>
      </c>
    </row>
    <row r="1216" spans="1:10" x14ac:dyDescent="0.25">
      <c r="A1216">
        <v>1215</v>
      </c>
      <c r="B1216" s="2">
        <v>43486</v>
      </c>
      <c r="C1216">
        <v>4</v>
      </c>
      <c r="D1216" s="1" t="s">
        <v>37</v>
      </c>
      <c r="E1216" s="1" t="s">
        <v>15</v>
      </c>
      <c r="F1216" s="1" t="s">
        <v>16</v>
      </c>
      <c r="G1216" s="1" t="s">
        <v>26</v>
      </c>
      <c r="H1216">
        <v>69</v>
      </c>
      <c r="I1216">
        <v>6</v>
      </c>
      <c r="J1216">
        <v>414</v>
      </c>
    </row>
    <row r="1217" spans="1:10" x14ac:dyDescent="0.25">
      <c r="A1217">
        <v>1216</v>
      </c>
      <c r="B1217" s="2">
        <v>43486</v>
      </c>
      <c r="C1217">
        <v>10</v>
      </c>
      <c r="D1217" s="1" t="s">
        <v>39</v>
      </c>
      <c r="E1217" s="1" t="s">
        <v>35</v>
      </c>
      <c r="F1217" s="1" t="s">
        <v>20</v>
      </c>
      <c r="G1217" s="1" t="s">
        <v>21</v>
      </c>
      <c r="H1217">
        <v>159</v>
      </c>
      <c r="I1217">
        <v>1</v>
      </c>
      <c r="J1217">
        <v>159</v>
      </c>
    </row>
    <row r="1218" spans="1:10" x14ac:dyDescent="0.25">
      <c r="A1218">
        <v>1217</v>
      </c>
      <c r="B1218" s="2">
        <v>43486</v>
      </c>
      <c r="C1218">
        <v>4</v>
      </c>
      <c r="D1218" s="1" t="s">
        <v>37</v>
      </c>
      <c r="E1218" s="1" t="s">
        <v>43</v>
      </c>
      <c r="F1218" s="1" t="s">
        <v>16</v>
      </c>
      <c r="G1218" s="1" t="s">
        <v>21</v>
      </c>
      <c r="H1218">
        <v>159</v>
      </c>
      <c r="I1218">
        <v>4</v>
      </c>
      <c r="J1218">
        <v>636</v>
      </c>
    </row>
    <row r="1219" spans="1:10" x14ac:dyDescent="0.25">
      <c r="A1219">
        <v>1218</v>
      </c>
      <c r="B1219" s="2">
        <v>43487</v>
      </c>
      <c r="C1219">
        <v>12</v>
      </c>
      <c r="D1219" s="1" t="s">
        <v>42</v>
      </c>
      <c r="E1219" s="1" t="s">
        <v>11</v>
      </c>
      <c r="F1219" s="1" t="s">
        <v>12</v>
      </c>
      <c r="G1219" s="1" t="s">
        <v>26</v>
      </c>
      <c r="H1219">
        <v>69</v>
      </c>
      <c r="I1219">
        <v>7</v>
      </c>
      <c r="J1219">
        <v>483</v>
      </c>
    </row>
    <row r="1220" spans="1:10" x14ac:dyDescent="0.25">
      <c r="A1220">
        <v>1219</v>
      </c>
      <c r="B1220" s="2">
        <v>43487</v>
      </c>
      <c r="C1220">
        <v>2</v>
      </c>
      <c r="D1220" s="1" t="s">
        <v>45</v>
      </c>
      <c r="E1220" s="1" t="s">
        <v>43</v>
      </c>
      <c r="F1220" s="1" t="s">
        <v>16</v>
      </c>
      <c r="G1220" s="1" t="s">
        <v>17</v>
      </c>
      <c r="H1220">
        <v>289</v>
      </c>
      <c r="I1220">
        <v>5</v>
      </c>
      <c r="J1220">
        <v>1445</v>
      </c>
    </row>
    <row r="1221" spans="1:10" x14ac:dyDescent="0.25">
      <c r="A1221">
        <v>1220</v>
      </c>
      <c r="B1221" s="2">
        <v>43487</v>
      </c>
      <c r="C1221">
        <v>7</v>
      </c>
      <c r="D1221" s="1" t="s">
        <v>44</v>
      </c>
      <c r="E1221" s="1" t="s">
        <v>19</v>
      </c>
      <c r="F1221" s="1" t="s">
        <v>20</v>
      </c>
      <c r="G1221" s="1" t="s">
        <v>17</v>
      </c>
      <c r="H1221">
        <v>289</v>
      </c>
      <c r="I1221">
        <v>7</v>
      </c>
      <c r="J1221">
        <v>2023</v>
      </c>
    </row>
    <row r="1222" spans="1:10" x14ac:dyDescent="0.25">
      <c r="A1222">
        <v>1221</v>
      </c>
      <c r="B1222" s="2">
        <v>43488</v>
      </c>
      <c r="C1222">
        <v>10</v>
      </c>
      <c r="D1222" s="1" t="s">
        <v>39</v>
      </c>
      <c r="E1222" s="1" t="s">
        <v>35</v>
      </c>
      <c r="F1222" s="1" t="s">
        <v>20</v>
      </c>
      <c r="G1222" s="1" t="s">
        <v>21</v>
      </c>
      <c r="H1222">
        <v>159</v>
      </c>
      <c r="I1222">
        <v>6</v>
      </c>
      <c r="J1222">
        <v>954</v>
      </c>
    </row>
    <row r="1223" spans="1:10" x14ac:dyDescent="0.25">
      <c r="A1223">
        <v>1222</v>
      </c>
      <c r="B1223" s="2">
        <v>43489</v>
      </c>
      <c r="C1223">
        <v>8</v>
      </c>
      <c r="D1223" s="1" t="s">
        <v>34</v>
      </c>
      <c r="E1223" s="1" t="s">
        <v>19</v>
      </c>
      <c r="F1223" s="1" t="s">
        <v>20</v>
      </c>
      <c r="G1223" s="1" t="s">
        <v>21</v>
      </c>
      <c r="H1223">
        <v>159</v>
      </c>
      <c r="I1223">
        <v>4</v>
      </c>
      <c r="J1223">
        <v>636</v>
      </c>
    </row>
    <row r="1224" spans="1:10" x14ac:dyDescent="0.25">
      <c r="A1224">
        <v>1223</v>
      </c>
      <c r="B1224" s="2">
        <v>43490</v>
      </c>
      <c r="C1224">
        <v>18</v>
      </c>
      <c r="D1224" s="1" t="s">
        <v>22</v>
      </c>
      <c r="E1224" s="1" t="s">
        <v>29</v>
      </c>
      <c r="F1224" s="1" t="s">
        <v>24</v>
      </c>
      <c r="G1224" s="1" t="s">
        <v>32</v>
      </c>
      <c r="H1224">
        <v>399</v>
      </c>
      <c r="I1224">
        <v>9</v>
      </c>
      <c r="J1224">
        <v>3591</v>
      </c>
    </row>
    <row r="1225" spans="1:10" x14ac:dyDescent="0.25">
      <c r="A1225">
        <v>1224</v>
      </c>
      <c r="B1225" s="2">
        <v>43491</v>
      </c>
      <c r="C1225">
        <v>4</v>
      </c>
      <c r="D1225" s="1" t="s">
        <v>37</v>
      </c>
      <c r="E1225" s="1" t="s">
        <v>15</v>
      </c>
      <c r="F1225" s="1" t="s">
        <v>16</v>
      </c>
      <c r="G1225" s="1" t="s">
        <v>13</v>
      </c>
      <c r="H1225">
        <v>199</v>
      </c>
      <c r="I1225">
        <v>5</v>
      </c>
      <c r="J1225">
        <v>995</v>
      </c>
    </row>
    <row r="1226" spans="1:10" x14ac:dyDescent="0.25">
      <c r="A1226">
        <v>1225</v>
      </c>
      <c r="B1226" s="2">
        <v>43491</v>
      </c>
      <c r="C1226">
        <v>7</v>
      </c>
      <c r="D1226" s="1" t="s">
        <v>44</v>
      </c>
      <c r="E1226" s="1" t="s">
        <v>35</v>
      </c>
      <c r="F1226" s="1" t="s">
        <v>20</v>
      </c>
      <c r="G1226" s="1" t="s">
        <v>32</v>
      </c>
      <c r="H1226">
        <v>399</v>
      </c>
      <c r="I1226">
        <v>8</v>
      </c>
      <c r="J1226">
        <v>3192</v>
      </c>
    </row>
    <row r="1227" spans="1:10" x14ac:dyDescent="0.25">
      <c r="A1227">
        <v>1226</v>
      </c>
      <c r="B1227" s="2">
        <v>43491</v>
      </c>
      <c r="C1227">
        <v>1</v>
      </c>
      <c r="D1227" s="1" t="s">
        <v>14</v>
      </c>
      <c r="E1227" s="1" t="s">
        <v>43</v>
      </c>
      <c r="F1227" s="1" t="s">
        <v>16</v>
      </c>
      <c r="G1227" s="1" t="s">
        <v>32</v>
      </c>
      <c r="H1227">
        <v>399</v>
      </c>
      <c r="I1227">
        <v>4</v>
      </c>
      <c r="J1227">
        <v>1596</v>
      </c>
    </row>
    <row r="1228" spans="1:10" x14ac:dyDescent="0.25">
      <c r="A1228">
        <v>1227</v>
      </c>
      <c r="B1228" s="2">
        <v>43491</v>
      </c>
      <c r="C1228">
        <v>10</v>
      </c>
      <c r="D1228" s="1" t="s">
        <v>39</v>
      </c>
      <c r="E1228" s="1" t="s">
        <v>19</v>
      </c>
      <c r="F1228" s="1" t="s">
        <v>20</v>
      </c>
      <c r="G1228" s="1" t="s">
        <v>32</v>
      </c>
      <c r="H1228">
        <v>399</v>
      </c>
      <c r="I1228">
        <v>4</v>
      </c>
      <c r="J1228">
        <v>1596</v>
      </c>
    </row>
    <row r="1229" spans="1:10" x14ac:dyDescent="0.25">
      <c r="A1229">
        <v>1228</v>
      </c>
      <c r="B1229" s="2">
        <v>43492</v>
      </c>
      <c r="C1229">
        <v>17</v>
      </c>
      <c r="D1229" s="1" t="s">
        <v>28</v>
      </c>
      <c r="E1229" s="1" t="s">
        <v>23</v>
      </c>
      <c r="F1229" s="1" t="s">
        <v>24</v>
      </c>
      <c r="G1229" s="1" t="s">
        <v>17</v>
      </c>
      <c r="H1229">
        <v>289</v>
      </c>
      <c r="I1229">
        <v>2</v>
      </c>
      <c r="J1229">
        <v>578</v>
      </c>
    </row>
    <row r="1230" spans="1:10" x14ac:dyDescent="0.25">
      <c r="A1230">
        <v>1229</v>
      </c>
      <c r="B1230" s="2">
        <v>43493</v>
      </c>
      <c r="C1230">
        <v>12</v>
      </c>
      <c r="D1230" s="1" t="s">
        <v>42</v>
      </c>
      <c r="E1230" s="1" t="s">
        <v>41</v>
      </c>
      <c r="F1230" s="1" t="s">
        <v>12</v>
      </c>
      <c r="G1230" s="1" t="s">
        <v>13</v>
      </c>
      <c r="H1230">
        <v>199</v>
      </c>
      <c r="I1230">
        <v>4</v>
      </c>
      <c r="J1230">
        <v>796</v>
      </c>
    </row>
    <row r="1231" spans="1:10" x14ac:dyDescent="0.25">
      <c r="A1231">
        <v>1230</v>
      </c>
      <c r="B1231" s="2">
        <v>43493</v>
      </c>
      <c r="C1231">
        <v>3</v>
      </c>
      <c r="D1231" s="1" t="s">
        <v>33</v>
      </c>
      <c r="E1231" s="1" t="s">
        <v>15</v>
      </c>
      <c r="F1231" s="1" t="s">
        <v>16</v>
      </c>
      <c r="G1231" s="1" t="s">
        <v>32</v>
      </c>
      <c r="H1231">
        <v>399</v>
      </c>
      <c r="I1231">
        <v>5</v>
      </c>
      <c r="J1231">
        <v>1995</v>
      </c>
    </row>
    <row r="1232" spans="1:10" x14ac:dyDescent="0.25">
      <c r="A1232">
        <v>1231</v>
      </c>
      <c r="B1232" s="2">
        <v>43493</v>
      </c>
      <c r="C1232">
        <v>2</v>
      </c>
      <c r="D1232" s="1" t="s">
        <v>45</v>
      </c>
      <c r="E1232" s="1" t="s">
        <v>43</v>
      </c>
      <c r="F1232" s="1" t="s">
        <v>16</v>
      </c>
      <c r="G1232" s="1" t="s">
        <v>26</v>
      </c>
      <c r="H1232">
        <v>69</v>
      </c>
      <c r="I1232">
        <v>3</v>
      </c>
      <c r="J1232">
        <v>207</v>
      </c>
    </row>
    <row r="1233" spans="1:10" x14ac:dyDescent="0.25">
      <c r="A1233">
        <v>1232</v>
      </c>
      <c r="B1233" s="2">
        <v>43493</v>
      </c>
      <c r="C1233">
        <v>4</v>
      </c>
      <c r="D1233" s="1" t="s">
        <v>37</v>
      </c>
      <c r="E1233" s="1" t="s">
        <v>15</v>
      </c>
      <c r="F1233" s="1" t="s">
        <v>16</v>
      </c>
      <c r="G1233" s="1" t="s">
        <v>21</v>
      </c>
      <c r="H1233">
        <v>159</v>
      </c>
      <c r="I1233">
        <v>7</v>
      </c>
      <c r="J1233">
        <v>1113</v>
      </c>
    </row>
    <row r="1234" spans="1:10" x14ac:dyDescent="0.25">
      <c r="A1234">
        <v>1233</v>
      </c>
      <c r="B1234" s="2">
        <v>43493</v>
      </c>
      <c r="C1234">
        <v>5</v>
      </c>
      <c r="D1234" s="1" t="s">
        <v>40</v>
      </c>
      <c r="E1234" s="1" t="s">
        <v>15</v>
      </c>
      <c r="F1234" s="1" t="s">
        <v>16</v>
      </c>
      <c r="G1234" s="1" t="s">
        <v>26</v>
      </c>
      <c r="H1234">
        <v>69</v>
      </c>
      <c r="I1234">
        <v>2</v>
      </c>
      <c r="J1234">
        <v>138</v>
      </c>
    </row>
    <row r="1235" spans="1:10" x14ac:dyDescent="0.25">
      <c r="A1235">
        <v>1234</v>
      </c>
      <c r="B1235" s="2">
        <v>43494</v>
      </c>
      <c r="C1235">
        <v>9</v>
      </c>
      <c r="D1235" s="1" t="s">
        <v>18</v>
      </c>
      <c r="E1235" s="1" t="s">
        <v>35</v>
      </c>
      <c r="F1235" s="1" t="s">
        <v>20</v>
      </c>
      <c r="G1235" s="1" t="s">
        <v>21</v>
      </c>
      <c r="H1235">
        <v>159</v>
      </c>
      <c r="I1235">
        <v>3</v>
      </c>
      <c r="J1235">
        <v>477</v>
      </c>
    </row>
    <row r="1236" spans="1:10" x14ac:dyDescent="0.25">
      <c r="A1236">
        <v>1235</v>
      </c>
      <c r="B1236" s="2">
        <v>43494</v>
      </c>
      <c r="C1236">
        <v>9</v>
      </c>
      <c r="D1236" s="1" t="s">
        <v>18</v>
      </c>
      <c r="E1236" s="1" t="s">
        <v>35</v>
      </c>
      <c r="F1236" s="1" t="s">
        <v>20</v>
      </c>
      <c r="G1236" s="1" t="s">
        <v>17</v>
      </c>
      <c r="H1236">
        <v>289</v>
      </c>
      <c r="I1236">
        <v>1</v>
      </c>
      <c r="J1236">
        <v>289</v>
      </c>
    </row>
    <row r="1237" spans="1:10" x14ac:dyDescent="0.25">
      <c r="A1237">
        <v>1236</v>
      </c>
      <c r="B1237" s="2">
        <v>43495</v>
      </c>
      <c r="C1237">
        <v>3</v>
      </c>
      <c r="D1237" s="1" t="s">
        <v>33</v>
      </c>
      <c r="E1237" s="1" t="s">
        <v>43</v>
      </c>
      <c r="F1237" s="1" t="s">
        <v>16</v>
      </c>
      <c r="G1237" s="1" t="s">
        <v>21</v>
      </c>
      <c r="H1237">
        <v>159</v>
      </c>
      <c r="I1237">
        <v>9</v>
      </c>
      <c r="J1237">
        <v>1431</v>
      </c>
    </row>
    <row r="1238" spans="1:10" x14ac:dyDescent="0.25">
      <c r="A1238">
        <v>1237</v>
      </c>
      <c r="B1238" s="2">
        <v>43496</v>
      </c>
      <c r="C1238">
        <v>2</v>
      </c>
      <c r="D1238" s="1" t="s">
        <v>45</v>
      </c>
      <c r="E1238" s="1" t="s">
        <v>43</v>
      </c>
      <c r="F1238" s="1" t="s">
        <v>16</v>
      </c>
      <c r="G1238" s="1" t="s">
        <v>32</v>
      </c>
      <c r="H1238">
        <v>399</v>
      </c>
      <c r="I1238">
        <v>7</v>
      </c>
      <c r="J1238">
        <v>2793</v>
      </c>
    </row>
    <row r="1239" spans="1:10" x14ac:dyDescent="0.25">
      <c r="A1239">
        <v>1238</v>
      </c>
      <c r="B1239" s="2">
        <v>43497</v>
      </c>
      <c r="C1239">
        <v>13</v>
      </c>
      <c r="D1239" s="1" t="s">
        <v>27</v>
      </c>
      <c r="E1239" s="1" t="s">
        <v>41</v>
      </c>
      <c r="F1239" s="1" t="s">
        <v>12</v>
      </c>
      <c r="G1239" s="1" t="s">
        <v>17</v>
      </c>
      <c r="H1239">
        <v>289</v>
      </c>
      <c r="I1239">
        <v>9</v>
      </c>
      <c r="J1239">
        <v>2601</v>
      </c>
    </row>
    <row r="1240" spans="1:10" x14ac:dyDescent="0.25">
      <c r="A1240">
        <v>1239</v>
      </c>
      <c r="B1240" s="2">
        <v>43498</v>
      </c>
      <c r="C1240">
        <v>8</v>
      </c>
      <c r="D1240" s="1" t="s">
        <v>34</v>
      </c>
      <c r="E1240" s="1" t="s">
        <v>19</v>
      </c>
      <c r="F1240" s="1" t="s">
        <v>20</v>
      </c>
      <c r="G1240" s="1" t="s">
        <v>17</v>
      </c>
      <c r="H1240">
        <v>289</v>
      </c>
      <c r="I1240">
        <v>3</v>
      </c>
      <c r="J1240">
        <v>867</v>
      </c>
    </row>
    <row r="1241" spans="1:10" x14ac:dyDescent="0.25">
      <c r="A1241">
        <v>1240</v>
      </c>
      <c r="B1241" s="2">
        <v>43499</v>
      </c>
      <c r="C1241">
        <v>12</v>
      </c>
      <c r="D1241" s="1" t="s">
        <v>42</v>
      </c>
      <c r="E1241" s="1" t="s">
        <v>11</v>
      </c>
      <c r="F1241" s="1" t="s">
        <v>12</v>
      </c>
      <c r="G1241" s="1" t="s">
        <v>13</v>
      </c>
      <c r="H1241">
        <v>199</v>
      </c>
      <c r="I1241">
        <v>3</v>
      </c>
      <c r="J1241">
        <v>597</v>
      </c>
    </row>
    <row r="1242" spans="1:10" x14ac:dyDescent="0.25">
      <c r="A1242">
        <v>1241</v>
      </c>
      <c r="B1242" s="2">
        <v>43499</v>
      </c>
      <c r="C1242">
        <v>6</v>
      </c>
      <c r="D1242" s="1" t="s">
        <v>36</v>
      </c>
      <c r="E1242" s="1" t="s">
        <v>35</v>
      </c>
      <c r="F1242" s="1" t="s">
        <v>20</v>
      </c>
      <c r="G1242" s="1" t="s">
        <v>26</v>
      </c>
      <c r="H1242">
        <v>69</v>
      </c>
      <c r="I1242">
        <v>5</v>
      </c>
      <c r="J1242">
        <v>345</v>
      </c>
    </row>
    <row r="1243" spans="1:10" x14ac:dyDescent="0.25">
      <c r="A1243">
        <v>1242</v>
      </c>
      <c r="B1243" s="2">
        <v>43500</v>
      </c>
      <c r="C1243">
        <v>9</v>
      </c>
      <c r="D1243" s="1" t="s">
        <v>18</v>
      </c>
      <c r="E1243" s="1" t="s">
        <v>35</v>
      </c>
      <c r="F1243" s="1" t="s">
        <v>20</v>
      </c>
      <c r="G1243" s="1" t="s">
        <v>17</v>
      </c>
      <c r="H1243">
        <v>289</v>
      </c>
      <c r="I1243">
        <v>0</v>
      </c>
      <c r="J1243">
        <v>0</v>
      </c>
    </row>
    <row r="1244" spans="1:10" x14ac:dyDescent="0.25">
      <c r="A1244">
        <v>1243</v>
      </c>
      <c r="B1244" s="2">
        <v>43501</v>
      </c>
      <c r="C1244">
        <v>16</v>
      </c>
      <c r="D1244" s="1" t="s">
        <v>25</v>
      </c>
      <c r="E1244" s="1" t="s">
        <v>29</v>
      </c>
      <c r="F1244" s="1" t="s">
        <v>24</v>
      </c>
      <c r="G1244" s="1" t="s">
        <v>17</v>
      </c>
      <c r="H1244">
        <v>289</v>
      </c>
      <c r="I1244">
        <v>9</v>
      </c>
      <c r="J1244">
        <v>2601</v>
      </c>
    </row>
    <row r="1245" spans="1:10" x14ac:dyDescent="0.25">
      <c r="A1245">
        <v>1244</v>
      </c>
      <c r="B1245" s="2">
        <v>43501</v>
      </c>
      <c r="C1245">
        <v>16</v>
      </c>
      <c r="D1245" s="1" t="s">
        <v>25</v>
      </c>
      <c r="E1245" s="1" t="s">
        <v>23</v>
      </c>
      <c r="F1245" s="1" t="s">
        <v>24</v>
      </c>
      <c r="G1245" s="1" t="s">
        <v>17</v>
      </c>
      <c r="H1245">
        <v>289</v>
      </c>
      <c r="I1245">
        <v>9</v>
      </c>
      <c r="J1245">
        <v>2601</v>
      </c>
    </row>
    <row r="1246" spans="1:10" x14ac:dyDescent="0.25">
      <c r="A1246">
        <v>1245</v>
      </c>
      <c r="B1246" s="2">
        <v>43501</v>
      </c>
      <c r="C1246">
        <v>8</v>
      </c>
      <c r="D1246" s="1" t="s">
        <v>34</v>
      </c>
      <c r="E1246" s="1" t="s">
        <v>19</v>
      </c>
      <c r="F1246" s="1" t="s">
        <v>20</v>
      </c>
      <c r="G1246" s="1" t="s">
        <v>13</v>
      </c>
      <c r="H1246">
        <v>199</v>
      </c>
      <c r="I1246">
        <v>0</v>
      </c>
      <c r="J1246">
        <v>0</v>
      </c>
    </row>
    <row r="1247" spans="1:10" x14ac:dyDescent="0.25">
      <c r="A1247">
        <v>1246</v>
      </c>
      <c r="B1247" s="2">
        <v>43501</v>
      </c>
      <c r="C1247">
        <v>3</v>
      </c>
      <c r="D1247" s="1" t="s">
        <v>33</v>
      </c>
      <c r="E1247" s="1" t="s">
        <v>43</v>
      </c>
      <c r="F1247" s="1" t="s">
        <v>16</v>
      </c>
      <c r="G1247" s="1" t="s">
        <v>17</v>
      </c>
      <c r="H1247">
        <v>289</v>
      </c>
      <c r="I1247">
        <v>9</v>
      </c>
      <c r="J1247">
        <v>2601</v>
      </c>
    </row>
    <row r="1248" spans="1:10" x14ac:dyDescent="0.25">
      <c r="A1248">
        <v>1247</v>
      </c>
      <c r="B1248" s="2">
        <v>43501</v>
      </c>
      <c r="C1248">
        <v>12</v>
      </c>
      <c r="D1248" s="1" t="s">
        <v>42</v>
      </c>
      <c r="E1248" s="1" t="s">
        <v>11</v>
      </c>
      <c r="F1248" s="1" t="s">
        <v>12</v>
      </c>
      <c r="G1248" s="1" t="s">
        <v>21</v>
      </c>
      <c r="H1248">
        <v>159</v>
      </c>
      <c r="I1248">
        <v>2</v>
      </c>
      <c r="J1248">
        <v>318</v>
      </c>
    </row>
    <row r="1249" spans="1:10" x14ac:dyDescent="0.25">
      <c r="A1249">
        <v>1248</v>
      </c>
      <c r="B1249" s="2">
        <v>43501</v>
      </c>
      <c r="C1249">
        <v>11</v>
      </c>
      <c r="D1249" s="1" t="s">
        <v>10</v>
      </c>
      <c r="E1249" s="1" t="s">
        <v>11</v>
      </c>
      <c r="F1249" s="1" t="s">
        <v>12</v>
      </c>
      <c r="G1249" s="1" t="s">
        <v>26</v>
      </c>
      <c r="H1249">
        <v>69</v>
      </c>
      <c r="I1249">
        <v>4</v>
      </c>
      <c r="J1249">
        <v>276</v>
      </c>
    </row>
    <row r="1250" spans="1:10" x14ac:dyDescent="0.25">
      <c r="A1250">
        <v>1249</v>
      </c>
      <c r="B1250" s="2">
        <v>43501</v>
      </c>
      <c r="C1250">
        <v>9</v>
      </c>
      <c r="D1250" s="1" t="s">
        <v>18</v>
      </c>
      <c r="E1250" s="1" t="s">
        <v>35</v>
      </c>
      <c r="F1250" s="1" t="s">
        <v>20</v>
      </c>
      <c r="G1250" s="1" t="s">
        <v>32</v>
      </c>
      <c r="H1250">
        <v>399</v>
      </c>
      <c r="I1250">
        <v>7</v>
      </c>
      <c r="J1250">
        <v>2793</v>
      </c>
    </row>
    <row r="1251" spans="1:10" x14ac:dyDescent="0.25">
      <c r="A1251">
        <v>1250</v>
      </c>
      <c r="B1251" s="2">
        <v>43501</v>
      </c>
      <c r="C1251">
        <v>3</v>
      </c>
      <c r="D1251" s="1" t="s">
        <v>33</v>
      </c>
      <c r="E1251" s="1" t="s">
        <v>15</v>
      </c>
      <c r="F1251" s="1" t="s">
        <v>16</v>
      </c>
      <c r="G1251" s="1" t="s">
        <v>26</v>
      </c>
      <c r="H1251">
        <v>69</v>
      </c>
      <c r="I1251">
        <v>6</v>
      </c>
      <c r="J1251">
        <v>414</v>
      </c>
    </row>
    <row r="1252" spans="1:10" x14ac:dyDescent="0.25">
      <c r="A1252">
        <v>1251</v>
      </c>
      <c r="B1252" s="2">
        <v>43501</v>
      </c>
      <c r="C1252">
        <v>3</v>
      </c>
      <c r="D1252" s="1" t="s">
        <v>33</v>
      </c>
      <c r="E1252" s="1" t="s">
        <v>43</v>
      </c>
      <c r="F1252" s="1" t="s">
        <v>16</v>
      </c>
      <c r="G1252" s="1" t="s">
        <v>13</v>
      </c>
      <c r="H1252">
        <v>199</v>
      </c>
      <c r="I1252">
        <v>1</v>
      </c>
      <c r="J1252">
        <v>199</v>
      </c>
    </row>
    <row r="1253" spans="1:10" x14ac:dyDescent="0.25">
      <c r="A1253">
        <v>1252</v>
      </c>
      <c r="B1253" s="2">
        <v>43502</v>
      </c>
      <c r="C1253">
        <v>9</v>
      </c>
      <c r="D1253" s="1" t="s">
        <v>18</v>
      </c>
      <c r="E1253" s="1" t="s">
        <v>19</v>
      </c>
      <c r="F1253" s="1" t="s">
        <v>20</v>
      </c>
      <c r="G1253" s="1" t="s">
        <v>17</v>
      </c>
      <c r="H1253">
        <v>289</v>
      </c>
      <c r="I1253">
        <v>4</v>
      </c>
      <c r="J1253">
        <v>1156</v>
      </c>
    </row>
    <row r="1254" spans="1:10" x14ac:dyDescent="0.25">
      <c r="A1254">
        <v>1253</v>
      </c>
      <c r="B1254" s="2">
        <v>43502</v>
      </c>
      <c r="C1254">
        <v>12</v>
      </c>
      <c r="D1254" s="1" t="s">
        <v>42</v>
      </c>
      <c r="E1254" s="1" t="s">
        <v>41</v>
      </c>
      <c r="F1254" s="1" t="s">
        <v>12</v>
      </c>
      <c r="G1254" s="1" t="s">
        <v>21</v>
      </c>
      <c r="H1254">
        <v>159</v>
      </c>
      <c r="I1254">
        <v>2</v>
      </c>
      <c r="J1254">
        <v>318</v>
      </c>
    </row>
    <row r="1255" spans="1:10" x14ac:dyDescent="0.25">
      <c r="A1255">
        <v>1254</v>
      </c>
      <c r="B1255" s="2">
        <v>43503</v>
      </c>
      <c r="C1255">
        <v>15</v>
      </c>
      <c r="D1255" s="1" t="s">
        <v>46</v>
      </c>
      <c r="E1255" s="1" t="s">
        <v>11</v>
      </c>
      <c r="F1255" s="1" t="s">
        <v>12</v>
      </c>
      <c r="G1255" s="1" t="s">
        <v>13</v>
      </c>
      <c r="H1255">
        <v>199</v>
      </c>
      <c r="I1255">
        <v>8</v>
      </c>
      <c r="J1255">
        <v>1592</v>
      </c>
    </row>
    <row r="1256" spans="1:10" x14ac:dyDescent="0.25">
      <c r="A1256">
        <v>1255</v>
      </c>
      <c r="B1256" s="2">
        <v>43503</v>
      </c>
      <c r="C1256">
        <v>14</v>
      </c>
      <c r="D1256" s="1" t="s">
        <v>30</v>
      </c>
      <c r="E1256" s="1" t="s">
        <v>11</v>
      </c>
      <c r="F1256" s="1" t="s">
        <v>12</v>
      </c>
      <c r="G1256" s="1" t="s">
        <v>32</v>
      </c>
      <c r="H1256">
        <v>399</v>
      </c>
      <c r="I1256">
        <v>4</v>
      </c>
      <c r="J1256">
        <v>1596</v>
      </c>
    </row>
    <row r="1257" spans="1:10" x14ac:dyDescent="0.25">
      <c r="A1257">
        <v>1256</v>
      </c>
      <c r="B1257" s="2">
        <v>43503</v>
      </c>
      <c r="C1257">
        <v>8</v>
      </c>
      <c r="D1257" s="1" t="s">
        <v>34</v>
      </c>
      <c r="E1257" s="1" t="s">
        <v>19</v>
      </c>
      <c r="F1257" s="1" t="s">
        <v>20</v>
      </c>
      <c r="G1257" s="1" t="s">
        <v>32</v>
      </c>
      <c r="H1257">
        <v>399</v>
      </c>
      <c r="I1257">
        <v>9</v>
      </c>
      <c r="J1257">
        <v>3591</v>
      </c>
    </row>
    <row r="1258" spans="1:10" x14ac:dyDescent="0.25">
      <c r="A1258">
        <v>1257</v>
      </c>
      <c r="B1258" s="2">
        <v>43504</v>
      </c>
      <c r="C1258">
        <v>14</v>
      </c>
      <c r="D1258" s="1" t="s">
        <v>30</v>
      </c>
      <c r="E1258" s="1" t="s">
        <v>41</v>
      </c>
      <c r="F1258" s="1" t="s">
        <v>12</v>
      </c>
      <c r="G1258" s="1" t="s">
        <v>21</v>
      </c>
      <c r="H1258">
        <v>159</v>
      </c>
      <c r="I1258">
        <v>8</v>
      </c>
      <c r="J1258">
        <v>1272</v>
      </c>
    </row>
    <row r="1259" spans="1:10" x14ac:dyDescent="0.25">
      <c r="A1259">
        <v>1258</v>
      </c>
      <c r="B1259" s="2">
        <v>43504</v>
      </c>
      <c r="C1259">
        <v>11</v>
      </c>
      <c r="D1259" s="1" t="s">
        <v>10</v>
      </c>
      <c r="E1259" s="1" t="s">
        <v>11</v>
      </c>
      <c r="F1259" s="1" t="s">
        <v>12</v>
      </c>
      <c r="G1259" s="1" t="s">
        <v>26</v>
      </c>
      <c r="H1259">
        <v>69</v>
      </c>
      <c r="I1259">
        <v>6</v>
      </c>
      <c r="J1259">
        <v>414</v>
      </c>
    </row>
    <row r="1260" spans="1:10" x14ac:dyDescent="0.25">
      <c r="A1260">
        <v>1259</v>
      </c>
      <c r="B1260" s="2">
        <v>43505</v>
      </c>
      <c r="C1260">
        <v>7</v>
      </c>
      <c r="D1260" s="1" t="s">
        <v>44</v>
      </c>
      <c r="E1260" s="1" t="s">
        <v>19</v>
      </c>
      <c r="F1260" s="1" t="s">
        <v>20</v>
      </c>
      <c r="G1260" s="1" t="s">
        <v>32</v>
      </c>
      <c r="H1260">
        <v>399</v>
      </c>
      <c r="I1260">
        <v>5</v>
      </c>
      <c r="J1260">
        <v>1995</v>
      </c>
    </row>
    <row r="1261" spans="1:10" x14ac:dyDescent="0.25">
      <c r="A1261">
        <v>1260</v>
      </c>
      <c r="B1261" s="2">
        <v>43505</v>
      </c>
      <c r="C1261">
        <v>8</v>
      </c>
      <c r="D1261" s="1" t="s">
        <v>34</v>
      </c>
      <c r="E1261" s="1" t="s">
        <v>35</v>
      </c>
      <c r="F1261" s="1" t="s">
        <v>20</v>
      </c>
      <c r="G1261" s="1" t="s">
        <v>13</v>
      </c>
      <c r="H1261">
        <v>199</v>
      </c>
      <c r="I1261">
        <v>3</v>
      </c>
      <c r="J1261">
        <v>597</v>
      </c>
    </row>
    <row r="1262" spans="1:10" x14ac:dyDescent="0.25">
      <c r="A1262">
        <v>1261</v>
      </c>
      <c r="B1262" s="2">
        <v>43506</v>
      </c>
      <c r="C1262">
        <v>5</v>
      </c>
      <c r="D1262" s="1" t="s">
        <v>40</v>
      </c>
      <c r="E1262" s="1" t="s">
        <v>43</v>
      </c>
      <c r="F1262" s="1" t="s">
        <v>16</v>
      </c>
      <c r="G1262" s="1" t="s">
        <v>13</v>
      </c>
      <c r="H1262">
        <v>199</v>
      </c>
      <c r="I1262">
        <v>5</v>
      </c>
      <c r="J1262">
        <v>995</v>
      </c>
    </row>
    <row r="1263" spans="1:10" x14ac:dyDescent="0.25">
      <c r="A1263">
        <v>1262</v>
      </c>
      <c r="B1263" s="2">
        <v>43506</v>
      </c>
      <c r="C1263">
        <v>13</v>
      </c>
      <c r="D1263" s="1" t="s">
        <v>27</v>
      </c>
      <c r="E1263" s="1" t="s">
        <v>41</v>
      </c>
      <c r="F1263" s="1" t="s">
        <v>12</v>
      </c>
      <c r="G1263" s="1" t="s">
        <v>21</v>
      </c>
      <c r="H1263">
        <v>159</v>
      </c>
      <c r="I1263">
        <v>8</v>
      </c>
      <c r="J1263">
        <v>1272</v>
      </c>
    </row>
    <row r="1264" spans="1:10" x14ac:dyDescent="0.25">
      <c r="A1264">
        <v>1263</v>
      </c>
      <c r="B1264" s="2">
        <v>43507</v>
      </c>
      <c r="C1264">
        <v>20</v>
      </c>
      <c r="D1264" s="1" t="s">
        <v>31</v>
      </c>
      <c r="E1264" s="1" t="s">
        <v>23</v>
      </c>
      <c r="F1264" s="1" t="s">
        <v>24</v>
      </c>
      <c r="G1264" s="1" t="s">
        <v>32</v>
      </c>
      <c r="H1264">
        <v>399</v>
      </c>
      <c r="I1264">
        <v>2</v>
      </c>
      <c r="J1264">
        <v>798</v>
      </c>
    </row>
    <row r="1265" spans="1:10" x14ac:dyDescent="0.25">
      <c r="A1265">
        <v>1264</v>
      </c>
      <c r="B1265" s="2">
        <v>43508</v>
      </c>
      <c r="C1265">
        <v>10</v>
      </c>
      <c r="D1265" s="1" t="s">
        <v>39</v>
      </c>
      <c r="E1265" s="1" t="s">
        <v>19</v>
      </c>
      <c r="F1265" s="1" t="s">
        <v>20</v>
      </c>
      <c r="G1265" s="1" t="s">
        <v>32</v>
      </c>
      <c r="H1265">
        <v>399</v>
      </c>
      <c r="I1265">
        <v>5</v>
      </c>
      <c r="J1265">
        <v>1995</v>
      </c>
    </row>
    <row r="1266" spans="1:10" x14ac:dyDescent="0.25">
      <c r="A1266">
        <v>1265</v>
      </c>
      <c r="B1266" s="2">
        <v>43509</v>
      </c>
      <c r="C1266">
        <v>13</v>
      </c>
      <c r="D1266" s="1" t="s">
        <v>27</v>
      </c>
      <c r="E1266" s="1" t="s">
        <v>11</v>
      </c>
      <c r="F1266" s="1" t="s">
        <v>12</v>
      </c>
      <c r="G1266" s="1" t="s">
        <v>21</v>
      </c>
      <c r="H1266">
        <v>159</v>
      </c>
      <c r="I1266">
        <v>3</v>
      </c>
      <c r="J1266">
        <v>477</v>
      </c>
    </row>
    <row r="1267" spans="1:10" x14ac:dyDescent="0.25">
      <c r="A1267">
        <v>1266</v>
      </c>
      <c r="B1267" s="2">
        <v>43509</v>
      </c>
      <c r="C1267">
        <v>8</v>
      </c>
      <c r="D1267" s="1" t="s">
        <v>34</v>
      </c>
      <c r="E1267" s="1" t="s">
        <v>35</v>
      </c>
      <c r="F1267" s="1" t="s">
        <v>20</v>
      </c>
      <c r="G1267" s="1" t="s">
        <v>13</v>
      </c>
      <c r="H1267">
        <v>199</v>
      </c>
      <c r="I1267">
        <v>7</v>
      </c>
      <c r="J1267">
        <v>1393</v>
      </c>
    </row>
    <row r="1268" spans="1:10" x14ac:dyDescent="0.25">
      <c r="A1268">
        <v>1267</v>
      </c>
      <c r="B1268" s="2">
        <v>43509</v>
      </c>
      <c r="C1268">
        <v>17</v>
      </c>
      <c r="D1268" s="1" t="s">
        <v>28</v>
      </c>
      <c r="E1268" s="1" t="s">
        <v>23</v>
      </c>
      <c r="F1268" s="1" t="s">
        <v>24</v>
      </c>
      <c r="G1268" s="1" t="s">
        <v>13</v>
      </c>
      <c r="H1268">
        <v>199</v>
      </c>
      <c r="I1268">
        <v>9</v>
      </c>
      <c r="J1268">
        <v>1791</v>
      </c>
    </row>
    <row r="1269" spans="1:10" x14ac:dyDescent="0.25">
      <c r="A1269">
        <v>1268</v>
      </c>
      <c r="B1269" s="2">
        <v>43510</v>
      </c>
      <c r="C1269">
        <v>2</v>
      </c>
      <c r="D1269" s="1" t="s">
        <v>45</v>
      </c>
      <c r="E1269" s="1" t="s">
        <v>15</v>
      </c>
      <c r="F1269" s="1" t="s">
        <v>16</v>
      </c>
      <c r="G1269" s="1" t="s">
        <v>26</v>
      </c>
      <c r="H1269">
        <v>69</v>
      </c>
      <c r="I1269">
        <v>9</v>
      </c>
      <c r="J1269">
        <v>621</v>
      </c>
    </row>
    <row r="1270" spans="1:10" x14ac:dyDescent="0.25">
      <c r="A1270">
        <v>1269</v>
      </c>
      <c r="B1270" s="2">
        <v>43510</v>
      </c>
      <c r="C1270">
        <v>13</v>
      </c>
      <c r="D1270" s="1" t="s">
        <v>27</v>
      </c>
      <c r="E1270" s="1" t="s">
        <v>11</v>
      </c>
      <c r="F1270" s="1" t="s">
        <v>12</v>
      </c>
      <c r="G1270" s="1" t="s">
        <v>32</v>
      </c>
      <c r="H1270">
        <v>399</v>
      </c>
      <c r="I1270">
        <v>6</v>
      </c>
      <c r="J1270">
        <v>2394</v>
      </c>
    </row>
    <row r="1271" spans="1:10" x14ac:dyDescent="0.25">
      <c r="A1271">
        <v>1270</v>
      </c>
      <c r="B1271" s="2">
        <v>43511</v>
      </c>
      <c r="C1271">
        <v>1</v>
      </c>
      <c r="D1271" s="1" t="s">
        <v>14</v>
      </c>
      <c r="E1271" s="1" t="s">
        <v>43</v>
      </c>
      <c r="F1271" s="1" t="s">
        <v>16</v>
      </c>
      <c r="G1271" s="1" t="s">
        <v>17</v>
      </c>
      <c r="H1271">
        <v>289</v>
      </c>
      <c r="I1271">
        <v>7</v>
      </c>
      <c r="J1271">
        <v>2023</v>
      </c>
    </row>
    <row r="1272" spans="1:10" x14ac:dyDescent="0.25">
      <c r="A1272">
        <v>1271</v>
      </c>
      <c r="B1272" s="2">
        <v>43512</v>
      </c>
      <c r="C1272">
        <v>16</v>
      </c>
      <c r="D1272" s="1" t="s">
        <v>25</v>
      </c>
      <c r="E1272" s="1" t="s">
        <v>23</v>
      </c>
      <c r="F1272" s="1" t="s">
        <v>24</v>
      </c>
      <c r="G1272" s="1" t="s">
        <v>13</v>
      </c>
      <c r="H1272">
        <v>199</v>
      </c>
      <c r="I1272">
        <v>1</v>
      </c>
      <c r="J1272">
        <v>199</v>
      </c>
    </row>
    <row r="1273" spans="1:10" x14ac:dyDescent="0.25">
      <c r="A1273">
        <v>1272</v>
      </c>
      <c r="B1273" s="2">
        <v>43513</v>
      </c>
      <c r="C1273">
        <v>11</v>
      </c>
      <c r="D1273" s="1" t="s">
        <v>10</v>
      </c>
      <c r="E1273" s="1" t="s">
        <v>41</v>
      </c>
      <c r="F1273" s="1" t="s">
        <v>12</v>
      </c>
      <c r="G1273" s="1" t="s">
        <v>17</v>
      </c>
      <c r="H1273">
        <v>289</v>
      </c>
      <c r="I1273">
        <v>4</v>
      </c>
      <c r="J1273">
        <v>1156</v>
      </c>
    </row>
    <row r="1274" spans="1:10" x14ac:dyDescent="0.25">
      <c r="A1274">
        <v>1273</v>
      </c>
      <c r="B1274" s="2">
        <v>43514</v>
      </c>
      <c r="C1274">
        <v>20</v>
      </c>
      <c r="D1274" s="1" t="s">
        <v>31</v>
      </c>
      <c r="E1274" s="1" t="s">
        <v>29</v>
      </c>
      <c r="F1274" s="1" t="s">
        <v>24</v>
      </c>
      <c r="G1274" s="1" t="s">
        <v>13</v>
      </c>
      <c r="H1274">
        <v>199</v>
      </c>
      <c r="I1274">
        <v>5</v>
      </c>
      <c r="J1274">
        <v>995</v>
      </c>
    </row>
    <row r="1275" spans="1:10" x14ac:dyDescent="0.25">
      <c r="A1275">
        <v>1274</v>
      </c>
      <c r="B1275" s="2">
        <v>43514</v>
      </c>
      <c r="C1275">
        <v>5</v>
      </c>
      <c r="D1275" s="1" t="s">
        <v>40</v>
      </c>
      <c r="E1275" s="1" t="s">
        <v>43</v>
      </c>
      <c r="F1275" s="1" t="s">
        <v>16</v>
      </c>
      <c r="G1275" s="1" t="s">
        <v>17</v>
      </c>
      <c r="H1275">
        <v>289</v>
      </c>
      <c r="I1275">
        <v>0</v>
      </c>
      <c r="J1275">
        <v>0</v>
      </c>
    </row>
    <row r="1276" spans="1:10" x14ac:dyDescent="0.25">
      <c r="A1276">
        <v>1275</v>
      </c>
      <c r="B1276" s="2">
        <v>43514</v>
      </c>
      <c r="C1276">
        <v>8</v>
      </c>
      <c r="D1276" s="1" t="s">
        <v>34</v>
      </c>
      <c r="E1276" s="1" t="s">
        <v>35</v>
      </c>
      <c r="F1276" s="1" t="s">
        <v>20</v>
      </c>
      <c r="G1276" s="1" t="s">
        <v>32</v>
      </c>
      <c r="H1276">
        <v>399</v>
      </c>
      <c r="I1276">
        <v>7</v>
      </c>
      <c r="J1276">
        <v>2793</v>
      </c>
    </row>
    <row r="1277" spans="1:10" x14ac:dyDescent="0.25">
      <c r="A1277">
        <v>1276</v>
      </c>
      <c r="B1277" s="2">
        <v>43514</v>
      </c>
      <c r="C1277">
        <v>14</v>
      </c>
      <c r="D1277" s="1" t="s">
        <v>30</v>
      </c>
      <c r="E1277" s="1" t="s">
        <v>41</v>
      </c>
      <c r="F1277" s="1" t="s">
        <v>12</v>
      </c>
      <c r="G1277" s="1" t="s">
        <v>32</v>
      </c>
      <c r="H1277">
        <v>399</v>
      </c>
      <c r="I1277">
        <v>9</v>
      </c>
      <c r="J1277">
        <v>3591</v>
      </c>
    </row>
    <row r="1278" spans="1:10" x14ac:dyDescent="0.25">
      <c r="A1278">
        <v>1277</v>
      </c>
      <c r="B1278" s="2">
        <v>43515</v>
      </c>
      <c r="C1278">
        <v>9</v>
      </c>
      <c r="D1278" s="1" t="s">
        <v>18</v>
      </c>
      <c r="E1278" s="1" t="s">
        <v>19</v>
      </c>
      <c r="F1278" s="1" t="s">
        <v>20</v>
      </c>
      <c r="G1278" s="1" t="s">
        <v>32</v>
      </c>
      <c r="H1278">
        <v>399</v>
      </c>
      <c r="I1278">
        <v>5</v>
      </c>
      <c r="J1278">
        <v>1995</v>
      </c>
    </row>
    <row r="1279" spans="1:10" x14ac:dyDescent="0.25">
      <c r="A1279">
        <v>1278</v>
      </c>
      <c r="B1279" s="2">
        <v>43515</v>
      </c>
      <c r="C1279">
        <v>3</v>
      </c>
      <c r="D1279" s="1" t="s">
        <v>33</v>
      </c>
      <c r="E1279" s="1" t="s">
        <v>43</v>
      </c>
      <c r="F1279" s="1" t="s">
        <v>16</v>
      </c>
      <c r="G1279" s="1" t="s">
        <v>32</v>
      </c>
      <c r="H1279">
        <v>399</v>
      </c>
      <c r="I1279">
        <v>7</v>
      </c>
      <c r="J1279">
        <v>2793</v>
      </c>
    </row>
    <row r="1280" spans="1:10" x14ac:dyDescent="0.25">
      <c r="A1280">
        <v>1279</v>
      </c>
      <c r="B1280" s="2">
        <v>43515</v>
      </c>
      <c r="C1280">
        <v>17</v>
      </c>
      <c r="D1280" s="1" t="s">
        <v>28</v>
      </c>
      <c r="E1280" s="1" t="s">
        <v>23</v>
      </c>
      <c r="F1280" s="1" t="s">
        <v>24</v>
      </c>
      <c r="G1280" s="1" t="s">
        <v>26</v>
      </c>
      <c r="H1280">
        <v>69</v>
      </c>
      <c r="I1280">
        <v>4</v>
      </c>
      <c r="J1280">
        <v>276</v>
      </c>
    </row>
    <row r="1281" spans="1:10" x14ac:dyDescent="0.25">
      <c r="A1281">
        <v>1280</v>
      </c>
      <c r="B1281" s="2">
        <v>43515</v>
      </c>
      <c r="C1281">
        <v>3</v>
      </c>
      <c r="D1281" s="1" t="s">
        <v>33</v>
      </c>
      <c r="E1281" s="1" t="s">
        <v>15</v>
      </c>
      <c r="F1281" s="1" t="s">
        <v>16</v>
      </c>
      <c r="G1281" s="1" t="s">
        <v>17</v>
      </c>
      <c r="H1281">
        <v>289</v>
      </c>
      <c r="I1281">
        <v>7</v>
      </c>
      <c r="J1281">
        <v>2023</v>
      </c>
    </row>
    <row r="1282" spans="1:10" x14ac:dyDescent="0.25">
      <c r="A1282">
        <v>1281</v>
      </c>
      <c r="B1282" s="2">
        <v>43515</v>
      </c>
      <c r="C1282">
        <v>19</v>
      </c>
      <c r="D1282" s="1" t="s">
        <v>38</v>
      </c>
      <c r="E1282" s="1" t="s">
        <v>23</v>
      </c>
      <c r="F1282" s="1" t="s">
        <v>24</v>
      </c>
      <c r="G1282" s="1" t="s">
        <v>13</v>
      </c>
      <c r="H1282">
        <v>199</v>
      </c>
      <c r="I1282">
        <v>0</v>
      </c>
      <c r="J1282">
        <v>0</v>
      </c>
    </row>
    <row r="1283" spans="1:10" x14ac:dyDescent="0.25">
      <c r="A1283">
        <v>1282</v>
      </c>
      <c r="B1283" s="2">
        <v>43515</v>
      </c>
      <c r="C1283">
        <v>6</v>
      </c>
      <c r="D1283" s="1" t="s">
        <v>36</v>
      </c>
      <c r="E1283" s="1" t="s">
        <v>19</v>
      </c>
      <c r="F1283" s="1" t="s">
        <v>20</v>
      </c>
      <c r="G1283" s="1" t="s">
        <v>26</v>
      </c>
      <c r="H1283">
        <v>69</v>
      </c>
      <c r="I1283">
        <v>8</v>
      </c>
      <c r="J1283">
        <v>552</v>
      </c>
    </row>
    <row r="1284" spans="1:10" x14ac:dyDescent="0.25">
      <c r="A1284">
        <v>1283</v>
      </c>
      <c r="B1284" s="2">
        <v>43515</v>
      </c>
      <c r="C1284">
        <v>7</v>
      </c>
      <c r="D1284" s="1" t="s">
        <v>44</v>
      </c>
      <c r="E1284" s="1" t="s">
        <v>19</v>
      </c>
      <c r="F1284" s="1" t="s">
        <v>20</v>
      </c>
      <c r="G1284" s="1" t="s">
        <v>32</v>
      </c>
      <c r="H1284">
        <v>399</v>
      </c>
      <c r="I1284">
        <v>3</v>
      </c>
      <c r="J1284">
        <v>1197</v>
      </c>
    </row>
    <row r="1285" spans="1:10" x14ac:dyDescent="0.25">
      <c r="A1285">
        <v>1284</v>
      </c>
      <c r="B1285" s="2">
        <v>43515</v>
      </c>
      <c r="C1285">
        <v>8</v>
      </c>
      <c r="D1285" s="1" t="s">
        <v>34</v>
      </c>
      <c r="E1285" s="1" t="s">
        <v>35</v>
      </c>
      <c r="F1285" s="1" t="s">
        <v>20</v>
      </c>
      <c r="G1285" s="1" t="s">
        <v>13</v>
      </c>
      <c r="H1285">
        <v>199</v>
      </c>
      <c r="I1285">
        <v>5</v>
      </c>
      <c r="J1285">
        <v>995</v>
      </c>
    </row>
    <row r="1286" spans="1:10" x14ac:dyDescent="0.25">
      <c r="A1286">
        <v>1285</v>
      </c>
      <c r="B1286" s="2">
        <v>43515</v>
      </c>
      <c r="C1286">
        <v>2</v>
      </c>
      <c r="D1286" s="1" t="s">
        <v>45</v>
      </c>
      <c r="E1286" s="1" t="s">
        <v>43</v>
      </c>
      <c r="F1286" s="1" t="s">
        <v>16</v>
      </c>
      <c r="G1286" s="1" t="s">
        <v>26</v>
      </c>
      <c r="H1286">
        <v>69</v>
      </c>
      <c r="I1286">
        <v>8</v>
      </c>
      <c r="J1286">
        <v>552</v>
      </c>
    </row>
    <row r="1287" spans="1:10" x14ac:dyDescent="0.25">
      <c r="A1287">
        <v>1286</v>
      </c>
      <c r="B1287" s="2">
        <v>43515</v>
      </c>
      <c r="C1287">
        <v>3</v>
      </c>
      <c r="D1287" s="1" t="s">
        <v>33</v>
      </c>
      <c r="E1287" s="1" t="s">
        <v>15</v>
      </c>
      <c r="F1287" s="1" t="s">
        <v>16</v>
      </c>
      <c r="G1287" s="1" t="s">
        <v>17</v>
      </c>
      <c r="H1287">
        <v>289</v>
      </c>
      <c r="I1287">
        <v>7</v>
      </c>
      <c r="J1287">
        <v>2023</v>
      </c>
    </row>
    <row r="1288" spans="1:10" x14ac:dyDescent="0.25">
      <c r="A1288">
        <v>1287</v>
      </c>
      <c r="B1288" s="2">
        <v>43515</v>
      </c>
      <c r="C1288">
        <v>16</v>
      </c>
      <c r="D1288" s="1" t="s">
        <v>25</v>
      </c>
      <c r="E1288" s="1" t="s">
        <v>23</v>
      </c>
      <c r="F1288" s="1" t="s">
        <v>24</v>
      </c>
      <c r="G1288" s="1" t="s">
        <v>32</v>
      </c>
      <c r="H1288">
        <v>399</v>
      </c>
      <c r="I1288">
        <v>7</v>
      </c>
      <c r="J1288">
        <v>2793</v>
      </c>
    </row>
    <row r="1289" spans="1:10" x14ac:dyDescent="0.25">
      <c r="A1289">
        <v>1288</v>
      </c>
      <c r="B1289" s="2">
        <v>43515</v>
      </c>
      <c r="C1289">
        <v>7</v>
      </c>
      <c r="D1289" s="1" t="s">
        <v>44</v>
      </c>
      <c r="E1289" s="1" t="s">
        <v>35</v>
      </c>
      <c r="F1289" s="1" t="s">
        <v>20</v>
      </c>
      <c r="G1289" s="1" t="s">
        <v>13</v>
      </c>
      <c r="H1289">
        <v>199</v>
      </c>
      <c r="I1289">
        <v>1</v>
      </c>
      <c r="J1289">
        <v>199</v>
      </c>
    </row>
    <row r="1290" spans="1:10" x14ac:dyDescent="0.25">
      <c r="A1290">
        <v>1289</v>
      </c>
      <c r="B1290" s="2">
        <v>43515</v>
      </c>
      <c r="C1290">
        <v>17</v>
      </c>
      <c r="D1290" s="1" t="s">
        <v>28</v>
      </c>
      <c r="E1290" s="1" t="s">
        <v>29</v>
      </c>
      <c r="F1290" s="1" t="s">
        <v>24</v>
      </c>
      <c r="G1290" s="1" t="s">
        <v>13</v>
      </c>
      <c r="H1290">
        <v>199</v>
      </c>
      <c r="I1290">
        <v>4</v>
      </c>
      <c r="J1290">
        <v>796</v>
      </c>
    </row>
    <row r="1291" spans="1:10" x14ac:dyDescent="0.25">
      <c r="A1291">
        <v>1290</v>
      </c>
      <c r="B1291" s="2">
        <v>43515</v>
      </c>
      <c r="C1291">
        <v>14</v>
      </c>
      <c r="D1291" s="1" t="s">
        <v>30</v>
      </c>
      <c r="E1291" s="1" t="s">
        <v>41</v>
      </c>
      <c r="F1291" s="1" t="s">
        <v>12</v>
      </c>
      <c r="G1291" s="1" t="s">
        <v>17</v>
      </c>
      <c r="H1291">
        <v>289</v>
      </c>
      <c r="I1291">
        <v>9</v>
      </c>
      <c r="J1291">
        <v>2601</v>
      </c>
    </row>
    <row r="1292" spans="1:10" x14ac:dyDescent="0.25">
      <c r="A1292">
        <v>1291</v>
      </c>
      <c r="B1292" s="2">
        <v>43516</v>
      </c>
      <c r="C1292">
        <v>8</v>
      </c>
      <c r="D1292" s="1" t="s">
        <v>34</v>
      </c>
      <c r="E1292" s="1" t="s">
        <v>35</v>
      </c>
      <c r="F1292" s="1" t="s">
        <v>20</v>
      </c>
      <c r="G1292" s="1" t="s">
        <v>17</v>
      </c>
      <c r="H1292">
        <v>289</v>
      </c>
      <c r="I1292">
        <v>5</v>
      </c>
      <c r="J1292">
        <v>1445</v>
      </c>
    </row>
    <row r="1293" spans="1:10" x14ac:dyDescent="0.25">
      <c r="A1293">
        <v>1292</v>
      </c>
      <c r="B1293" s="2">
        <v>43516</v>
      </c>
      <c r="C1293">
        <v>2</v>
      </c>
      <c r="D1293" s="1" t="s">
        <v>45</v>
      </c>
      <c r="E1293" s="1" t="s">
        <v>15</v>
      </c>
      <c r="F1293" s="1" t="s">
        <v>16</v>
      </c>
      <c r="G1293" s="1" t="s">
        <v>13</v>
      </c>
      <c r="H1293">
        <v>199</v>
      </c>
      <c r="I1293">
        <v>3</v>
      </c>
      <c r="J1293">
        <v>597</v>
      </c>
    </row>
    <row r="1294" spans="1:10" x14ac:dyDescent="0.25">
      <c r="A1294">
        <v>1293</v>
      </c>
      <c r="B1294" s="2">
        <v>43516</v>
      </c>
      <c r="C1294">
        <v>9</v>
      </c>
      <c r="D1294" s="1" t="s">
        <v>18</v>
      </c>
      <c r="E1294" s="1" t="s">
        <v>35</v>
      </c>
      <c r="F1294" s="1" t="s">
        <v>20</v>
      </c>
      <c r="G1294" s="1" t="s">
        <v>21</v>
      </c>
      <c r="H1294">
        <v>159</v>
      </c>
      <c r="I1294">
        <v>2</v>
      </c>
      <c r="J1294">
        <v>318</v>
      </c>
    </row>
    <row r="1295" spans="1:10" x14ac:dyDescent="0.25">
      <c r="A1295">
        <v>1294</v>
      </c>
      <c r="B1295" s="2">
        <v>43517</v>
      </c>
      <c r="C1295">
        <v>8</v>
      </c>
      <c r="D1295" s="1" t="s">
        <v>34</v>
      </c>
      <c r="E1295" s="1" t="s">
        <v>35</v>
      </c>
      <c r="F1295" s="1" t="s">
        <v>20</v>
      </c>
      <c r="G1295" s="1" t="s">
        <v>17</v>
      </c>
      <c r="H1295">
        <v>289</v>
      </c>
      <c r="I1295">
        <v>1</v>
      </c>
      <c r="J1295">
        <v>289</v>
      </c>
    </row>
    <row r="1296" spans="1:10" x14ac:dyDescent="0.25">
      <c r="A1296">
        <v>1295</v>
      </c>
      <c r="B1296" s="2">
        <v>43517</v>
      </c>
      <c r="C1296">
        <v>18</v>
      </c>
      <c r="D1296" s="1" t="s">
        <v>22</v>
      </c>
      <c r="E1296" s="1" t="s">
        <v>23</v>
      </c>
      <c r="F1296" s="1" t="s">
        <v>24</v>
      </c>
      <c r="G1296" s="1" t="s">
        <v>32</v>
      </c>
      <c r="H1296">
        <v>399</v>
      </c>
      <c r="I1296">
        <v>3</v>
      </c>
      <c r="J1296">
        <v>1197</v>
      </c>
    </row>
    <row r="1297" spans="1:10" x14ac:dyDescent="0.25">
      <c r="A1297">
        <v>1296</v>
      </c>
      <c r="B1297" s="2">
        <v>43518</v>
      </c>
      <c r="C1297">
        <v>20</v>
      </c>
      <c r="D1297" s="1" t="s">
        <v>31</v>
      </c>
      <c r="E1297" s="1" t="s">
        <v>23</v>
      </c>
      <c r="F1297" s="1" t="s">
        <v>24</v>
      </c>
      <c r="G1297" s="1" t="s">
        <v>17</v>
      </c>
      <c r="H1297">
        <v>289</v>
      </c>
      <c r="I1297">
        <v>0</v>
      </c>
      <c r="J1297">
        <v>0</v>
      </c>
    </row>
    <row r="1298" spans="1:10" x14ac:dyDescent="0.25">
      <c r="A1298">
        <v>1297</v>
      </c>
      <c r="B1298" s="2">
        <v>43518</v>
      </c>
      <c r="C1298">
        <v>13</v>
      </c>
      <c r="D1298" s="1" t="s">
        <v>27</v>
      </c>
      <c r="E1298" s="1" t="s">
        <v>11</v>
      </c>
      <c r="F1298" s="1" t="s">
        <v>12</v>
      </c>
      <c r="G1298" s="1" t="s">
        <v>17</v>
      </c>
      <c r="H1298">
        <v>289</v>
      </c>
      <c r="I1298">
        <v>7</v>
      </c>
      <c r="J1298">
        <v>2023</v>
      </c>
    </row>
    <row r="1299" spans="1:10" x14ac:dyDescent="0.25">
      <c r="A1299">
        <v>1298</v>
      </c>
      <c r="B1299" s="2">
        <v>43518</v>
      </c>
      <c r="C1299">
        <v>3</v>
      </c>
      <c r="D1299" s="1" t="s">
        <v>33</v>
      </c>
      <c r="E1299" s="1" t="s">
        <v>43</v>
      </c>
      <c r="F1299" s="1" t="s">
        <v>16</v>
      </c>
      <c r="G1299" s="1" t="s">
        <v>32</v>
      </c>
      <c r="H1299">
        <v>399</v>
      </c>
      <c r="I1299">
        <v>3</v>
      </c>
      <c r="J1299">
        <v>1197</v>
      </c>
    </row>
    <row r="1300" spans="1:10" x14ac:dyDescent="0.25">
      <c r="A1300">
        <v>1299</v>
      </c>
      <c r="B1300" s="2">
        <v>43518</v>
      </c>
      <c r="C1300">
        <v>16</v>
      </c>
      <c r="D1300" s="1" t="s">
        <v>25</v>
      </c>
      <c r="E1300" s="1" t="s">
        <v>29</v>
      </c>
      <c r="F1300" s="1" t="s">
        <v>24</v>
      </c>
      <c r="G1300" s="1" t="s">
        <v>13</v>
      </c>
      <c r="H1300">
        <v>199</v>
      </c>
      <c r="I1300">
        <v>2</v>
      </c>
      <c r="J1300">
        <v>398</v>
      </c>
    </row>
    <row r="1301" spans="1:10" x14ac:dyDescent="0.25">
      <c r="A1301">
        <v>1300</v>
      </c>
      <c r="B1301" s="2">
        <v>43518</v>
      </c>
      <c r="C1301">
        <v>16</v>
      </c>
      <c r="D1301" s="1" t="s">
        <v>25</v>
      </c>
      <c r="E1301" s="1" t="s">
        <v>23</v>
      </c>
      <c r="F1301" s="1" t="s">
        <v>24</v>
      </c>
      <c r="G1301" s="1" t="s">
        <v>17</v>
      </c>
      <c r="H1301">
        <v>289</v>
      </c>
      <c r="I1301">
        <v>3</v>
      </c>
      <c r="J1301">
        <v>867</v>
      </c>
    </row>
    <row r="1302" spans="1:10" x14ac:dyDescent="0.25">
      <c r="A1302">
        <v>1301</v>
      </c>
      <c r="B1302" s="2">
        <v>43518</v>
      </c>
      <c r="C1302">
        <v>3</v>
      </c>
      <c r="D1302" s="1" t="s">
        <v>33</v>
      </c>
      <c r="E1302" s="1" t="s">
        <v>43</v>
      </c>
      <c r="F1302" s="1" t="s">
        <v>16</v>
      </c>
      <c r="G1302" s="1" t="s">
        <v>13</v>
      </c>
      <c r="H1302">
        <v>199</v>
      </c>
      <c r="I1302">
        <v>9</v>
      </c>
      <c r="J1302">
        <v>1791</v>
      </c>
    </row>
    <row r="1303" spans="1:10" x14ac:dyDescent="0.25">
      <c r="A1303">
        <v>1302</v>
      </c>
      <c r="B1303" s="2">
        <v>43518</v>
      </c>
      <c r="C1303">
        <v>20</v>
      </c>
      <c r="D1303" s="1" t="s">
        <v>31</v>
      </c>
      <c r="E1303" s="1" t="s">
        <v>29</v>
      </c>
      <c r="F1303" s="1" t="s">
        <v>24</v>
      </c>
      <c r="G1303" s="1" t="s">
        <v>17</v>
      </c>
      <c r="H1303">
        <v>289</v>
      </c>
      <c r="I1303">
        <v>0</v>
      </c>
      <c r="J1303">
        <v>0</v>
      </c>
    </row>
    <row r="1304" spans="1:10" x14ac:dyDescent="0.25">
      <c r="A1304">
        <v>1303</v>
      </c>
      <c r="B1304" s="2">
        <v>43518</v>
      </c>
      <c r="C1304">
        <v>3</v>
      </c>
      <c r="D1304" s="1" t="s">
        <v>33</v>
      </c>
      <c r="E1304" s="1" t="s">
        <v>15</v>
      </c>
      <c r="F1304" s="1" t="s">
        <v>16</v>
      </c>
      <c r="G1304" s="1" t="s">
        <v>17</v>
      </c>
      <c r="H1304">
        <v>289</v>
      </c>
      <c r="I1304">
        <v>7</v>
      </c>
      <c r="J1304">
        <v>2023</v>
      </c>
    </row>
    <row r="1305" spans="1:10" x14ac:dyDescent="0.25">
      <c r="A1305">
        <v>1304</v>
      </c>
      <c r="B1305" s="2">
        <v>43519</v>
      </c>
      <c r="C1305">
        <v>8</v>
      </c>
      <c r="D1305" s="1" t="s">
        <v>34</v>
      </c>
      <c r="E1305" s="1" t="s">
        <v>19</v>
      </c>
      <c r="F1305" s="1" t="s">
        <v>20</v>
      </c>
      <c r="G1305" s="1" t="s">
        <v>32</v>
      </c>
      <c r="H1305">
        <v>399</v>
      </c>
      <c r="I1305">
        <v>5</v>
      </c>
      <c r="J1305">
        <v>1995</v>
      </c>
    </row>
    <row r="1306" spans="1:10" x14ac:dyDescent="0.25">
      <c r="A1306">
        <v>1305</v>
      </c>
      <c r="B1306" s="2">
        <v>43519</v>
      </c>
      <c r="C1306">
        <v>6</v>
      </c>
      <c r="D1306" s="1" t="s">
        <v>36</v>
      </c>
      <c r="E1306" s="1" t="s">
        <v>35</v>
      </c>
      <c r="F1306" s="1" t="s">
        <v>20</v>
      </c>
      <c r="G1306" s="1" t="s">
        <v>13</v>
      </c>
      <c r="H1306">
        <v>199</v>
      </c>
      <c r="I1306">
        <v>8</v>
      </c>
      <c r="J1306">
        <v>1592</v>
      </c>
    </row>
    <row r="1307" spans="1:10" x14ac:dyDescent="0.25">
      <c r="A1307">
        <v>1306</v>
      </c>
      <c r="B1307" s="2">
        <v>43519</v>
      </c>
      <c r="C1307">
        <v>7</v>
      </c>
      <c r="D1307" s="1" t="s">
        <v>44</v>
      </c>
      <c r="E1307" s="1" t="s">
        <v>19</v>
      </c>
      <c r="F1307" s="1" t="s">
        <v>20</v>
      </c>
      <c r="G1307" s="1" t="s">
        <v>26</v>
      </c>
      <c r="H1307">
        <v>69</v>
      </c>
      <c r="I1307">
        <v>5</v>
      </c>
      <c r="J1307">
        <v>345</v>
      </c>
    </row>
    <row r="1308" spans="1:10" x14ac:dyDescent="0.25">
      <c r="A1308">
        <v>1307</v>
      </c>
      <c r="B1308" s="2">
        <v>43519</v>
      </c>
      <c r="C1308">
        <v>3</v>
      </c>
      <c r="D1308" s="1" t="s">
        <v>33</v>
      </c>
      <c r="E1308" s="1" t="s">
        <v>43</v>
      </c>
      <c r="F1308" s="1" t="s">
        <v>16</v>
      </c>
      <c r="G1308" s="1" t="s">
        <v>32</v>
      </c>
      <c r="H1308">
        <v>399</v>
      </c>
      <c r="I1308">
        <v>8</v>
      </c>
      <c r="J1308">
        <v>3192</v>
      </c>
    </row>
    <row r="1309" spans="1:10" x14ac:dyDescent="0.25">
      <c r="A1309">
        <v>1308</v>
      </c>
      <c r="B1309" s="2">
        <v>43520</v>
      </c>
      <c r="C1309">
        <v>4</v>
      </c>
      <c r="D1309" s="1" t="s">
        <v>37</v>
      </c>
      <c r="E1309" s="1" t="s">
        <v>15</v>
      </c>
      <c r="F1309" s="1" t="s">
        <v>16</v>
      </c>
      <c r="G1309" s="1" t="s">
        <v>32</v>
      </c>
      <c r="H1309">
        <v>399</v>
      </c>
      <c r="I1309">
        <v>2</v>
      </c>
      <c r="J1309">
        <v>798</v>
      </c>
    </row>
    <row r="1310" spans="1:10" x14ac:dyDescent="0.25">
      <c r="A1310">
        <v>1309</v>
      </c>
      <c r="B1310" s="2">
        <v>43520</v>
      </c>
      <c r="C1310">
        <v>2</v>
      </c>
      <c r="D1310" s="1" t="s">
        <v>45</v>
      </c>
      <c r="E1310" s="1" t="s">
        <v>43</v>
      </c>
      <c r="F1310" s="1" t="s">
        <v>16</v>
      </c>
      <c r="G1310" s="1" t="s">
        <v>32</v>
      </c>
      <c r="H1310">
        <v>399</v>
      </c>
      <c r="I1310">
        <v>6</v>
      </c>
      <c r="J1310">
        <v>2394</v>
      </c>
    </row>
    <row r="1311" spans="1:10" x14ac:dyDescent="0.25">
      <c r="A1311">
        <v>1310</v>
      </c>
      <c r="B1311" s="2">
        <v>43520</v>
      </c>
      <c r="C1311">
        <v>8</v>
      </c>
      <c r="D1311" s="1" t="s">
        <v>34</v>
      </c>
      <c r="E1311" s="1" t="s">
        <v>35</v>
      </c>
      <c r="F1311" s="1" t="s">
        <v>20</v>
      </c>
      <c r="G1311" s="1" t="s">
        <v>17</v>
      </c>
      <c r="H1311">
        <v>289</v>
      </c>
      <c r="I1311">
        <v>0</v>
      </c>
      <c r="J1311">
        <v>0</v>
      </c>
    </row>
    <row r="1312" spans="1:10" x14ac:dyDescent="0.25">
      <c r="A1312">
        <v>1311</v>
      </c>
      <c r="B1312" s="2">
        <v>43521</v>
      </c>
      <c r="C1312">
        <v>4</v>
      </c>
      <c r="D1312" s="1" t="s">
        <v>37</v>
      </c>
      <c r="E1312" s="1" t="s">
        <v>43</v>
      </c>
      <c r="F1312" s="1" t="s">
        <v>16</v>
      </c>
      <c r="G1312" s="1" t="s">
        <v>26</v>
      </c>
      <c r="H1312">
        <v>69</v>
      </c>
      <c r="I1312">
        <v>4</v>
      </c>
      <c r="J1312">
        <v>276</v>
      </c>
    </row>
    <row r="1313" spans="1:10" x14ac:dyDescent="0.25">
      <c r="A1313">
        <v>1312</v>
      </c>
      <c r="B1313" s="2">
        <v>43522</v>
      </c>
      <c r="C1313">
        <v>13</v>
      </c>
      <c r="D1313" s="1" t="s">
        <v>27</v>
      </c>
      <c r="E1313" s="1" t="s">
        <v>41</v>
      </c>
      <c r="F1313" s="1" t="s">
        <v>12</v>
      </c>
      <c r="G1313" s="1" t="s">
        <v>21</v>
      </c>
      <c r="H1313">
        <v>159</v>
      </c>
      <c r="I1313">
        <v>5</v>
      </c>
      <c r="J1313">
        <v>795</v>
      </c>
    </row>
    <row r="1314" spans="1:10" x14ac:dyDescent="0.25">
      <c r="A1314">
        <v>1313</v>
      </c>
      <c r="B1314" s="2">
        <v>43522</v>
      </c>
      <c r="C1314">
        <v>8</v>
      </c>
      <c r="D1314" s="1" t="s">
        <v>34</v>
      </c>
      <c r="E1314" s="1" t="s">
        <v>19</v>
      </c>
      <c r="F1314" s="1" t="s">
        <v>20</v>
      </c>
      <c r="G1314" s="1" t="s">
        <v>21</v>
      </c>
      <c r="H1314">
        <v>159</v>
      </c>
      <c r="I1314">
        <v>8</v>
      </c>
      <c r="J1314">
        <v>1272</v>
      </c>
    </row>
    <row r="1315" spans="1:10" x14ac:dyDescent="0.25">
      <c r="A1315">
        <v>1314</v>
      </c>
      <c r="B1315" s="2">
        <v>43522</v>
      </c>
      <c r="C1315">
        <v>11</v>
      </c>
      <c r="D1315" s="1" t="s">
        <v>10</v>
      </c>
      <c r="E1315" s="1" t="s">
        <v>11</v>
      </c>
      <c r="F1315" s="1" t="s">
        <v>12</v>
      </c>
      <c r="G1315" s="1" t="s">
        <v>13</v>
      </c>
      <c r="H1315">
        <v>199</v>
      </c>
      <c r="I1315">
        <v>9</v>
      </c>
      <c r="J1315">
        <v>1791</v>
      </c>
    </row>
    <row r="1316" spans="1:10" x14ac:dyDescent="0.25">
      <c r="A1316">
        <v>1315</v>
      </c>
      <c r="B1316" s="2">
        <v>43522</v>
      </c>
      <c r="C1316">
        <v>12</v>
      </c>
      <c r="D1316" s="1" t="s">
        <v>42</v>
      </c>
      <c r="E1316" s="1" t="s">
        <v>41</v>
      </c>
      <c r="F1316" s="1" t="s">
        <v>12</v>
      </c>
      <c r="G1316" s="1" t="s">
        <v>26</v>
      </c>
      <c r="H1316">
        <v>69</v>
      </c>
      <c r="I1316">
        <v>8</v>
      </c>
      <c r="J1316">
        <v>552</v>
      </c>
    </row>
    <row r="1317" spans="1:10" x14ac:dyDescent="0.25">
      <c r="A1317">
        <v>1316</v>
      </c>
      <c r="B1317" s="2">
        <v>43522</v>
      </c>
      <c r="C1317">
        <v>1</v>
      </c>
      <c r="D1317" s="1" t="s">
        <v>14</v>
      </c>
      <c r="E1317" s="1" t="s">
        <v>15</v>
      </c>
      <c r="F1317" s="1" t="s">
        <v>16</v>
      </c>
      <c r="G1317" s="1" t="s">
        <v>26</v>
      </c>
      <c r="H1317">
        <v>69</v>
      </c>
      <c r="I1317">
        <v>9</v>
      </c>
      <c r="J1317">
        <v>621</v>
      </c>
    </row>
    <row r="1318" spans="1:10" x14ac:dyDescent="0.25">
      <c r="A1318">
        <v>1317</v>
      </c>
      <c r="B1318" s="2">
        <v>43522</v>
      </c>
      <c r="C1318">
        <v>3</v>
      </c>
      <c r="D1318" s="1" t="s">
        <v>33</v>
      </c>
      <c r="E1318" s="1" t="s">
        <v>15</v>
      </c>
      <c r="F1318" s="1" t="s">
        <v>16</v>
      </c>
      <c r="G1318" s="1" t="s">
        <v>17</v>
      </c>
      <c r="H1318">
        <v>289</v>
      </c>
      <c r="I1318">
        <v>3</v>
      </c>
      <c r="J1318">
        <v>867</v>
      </c>
    </row>
    <row r="1319" spans="1:10" x14ac:dyDescent="0.25">
      <c r="A1319">
        <v>1318</v>
      </c>
      <c r="B1319" s="2">
        <v>43522</v>
      </c>
      <c r="C1319">
        <v>14</v>
      </c>
      <c r="D1319" s="1" t="s">
        <v>30</v>
      </c>
      <c r="E1319" s="1" t="s">
        <v>11</v>
      </c>
      <c r="F1319" s="1" t="s">
        <v>12</v>
      </c>
      <c r="G1319" s="1" t="s">
        <v>32</v>
      </c>
      <c r="H1319">
        <v>399</v>
      </c>
      <c r="I1319">
        <v>2</v>
      </c>
      <c r="J1319">
        <v>798</v>
      </c>
    </row>
    <row r="1320" spans="1:10" x14ac:dyDescent="0.25">
      <c r="A1320">
        <v>1319</v>
      </c>
      <c r="B1320" s="2">
        <v>43523</v>
      </c>
      <c r="C1320">
        <v>11</v>
      </c>
      <c r="D1320" s="1" t="s">
        <v>10</v>
      </c>
      <c r="E1320" s="1" t="s">
        <v>41</v>
      </c>
      <c r="F1320" s="1" t="s">
        <v>12</v>
      </c>
      <c r="G1320" s="1" t="s">
        <v>13</v>
      </c>
      <c r="H1320">
        <v>199</v>
      </c>
      <c r="I1320">
        <v>9</v>
      </c>
      <c r="J1320">
        <v>1791</v>
      </c>
    </row>
    <row r="1321" spans="1:10" x14ac:dyDescent="0.25">
      <c r="A1321">
        <v>1320</v>
      </c>
      <c r="B1321" s="2">
        <v>43523</v>
      </c>
      <c r="C1321">
        <v>8</v>
      </c>
      <c r="D1321" s="1" t="s">
        <v>34</v>
      </c>
      <c r="E1321" s="1" t="s">
        <v>19</v>
      </c>
      <c r="F1321" s="1" t="s">
        <v>20</v>
      </c>
      <c r="G1321" s="1" t="s">
        <v>26</v>
      </c>
      <c r="H1321">
        <v>69</v>
      </c>
      <c r="I1321">
        <v>4</v>
      </c>
      <c r="J1321">
        <v>276</v>
      </c>
    </row>
    <row r="1322" spans="1:10" x14ac:dyDescent="0.25">
      <c r="A1322">
        <v>1321</v>
      </c>
      <c r="B1322" s="2">
        <v>43524</v>
      </c>
      <c r="C1322">
        <v>10</v>
      </c>
      <c r="D1322" s="1" t="s">
        <v>39</v>
      </c>
      <c r="E1322" s="1" t="s">
        <v>19</v>
      </c>
      <c r="F1322" s="1" t="s">
        <v>20</v>
      </c>
      <c r="G1322" s="1" t="s">
        <v>26</v>
      </c>
      <c r="H1322">
        <v>69</v>
      </c>
      <c r="I1322">
        <v>9</v>
      </c>
      <c r="J1322">
        <v>621</v>
      </c>
    </row>
    <row r="1323" spans="1:10" x14ac:dyDescent="0.25">
      <c r="A1323">
        <v>1322</v>
      </c>
      <c r="B1323" s="2">
        <v>43524</v>
      </c>
      <c r="C1323">
        <v>19</v>
      </c>
      <c r="D1323" s="1" t="s">
        <v>38</v>
      </c>
      <c r="E1323" s="1" t="s">
        <v>23</v>
      </c>
      <c r="F1323" s="1" t="s">
        <v>24</v>
      </c>
      <c r="G1323" s="1" t="s">
        <v>32</v>
      </c>
      <c r="H1323">
        <v>399</v>
      </c>
      <c r="I1323">
        <v>9</v>
      </c>
      <c r="J1323">
        <v>3591</v>
      </c>
    </row>
    <row r="1324" spans="1:10" x14ac:dyDescent="0.25">
      <c r="A1324">
        <v>1323</v>
      </c>
      <c r="B1324" s="2">
        <v>43524</v>
      </c>
      <c r="C1324">
        <v>12</v>
      </c>
      <c r="D1324" s="1" t="s">
        <v>42</v>
      </c>
      <c r="E1324" s="1" t="s">
        <v>11</v>
      </c>
      <c r="F1324" s="1" t="s">
        <v>12</v>
      </c>
      <c r="G1324" s="1" t="s">
        <v>17</v>
      </c>
      <c r="H1324">
        <v>289</v>
      </c>
      <c r="I1324">
        <v>1</v>
      </c>
      <c r="J1324">
        <v>289</v>
      </c>
    </row>
    <row r="1325" spans="1:10" x14ac:dyDescent="0.25">
      <c r="A1325">
        <v>1324</v>
      </c>
      <c r="B1325" s="2">
        <v>43525</v>
      </c>
      <c r="C1325">
        <v>17</v>
      </c>
      <c r="D1325" s="1" t="s">
        <v>28</v>
      </c>
      <c r="E1325" s="1" t="s">
        <v>29</v>
      </c>
      <c r="F1325" s="1" t="s">
        <v>24</v>
      </c>
      <c r="G1325" s="1" t="s">
        <v>21</v>
      </c>
      <c r="H1325">
        <v>159</v>
      </c>
      <c r="I1325">
        <v>9</v>
      </c>
      <c r="J1325">
        <v>1431</v>
      </c>
    </row>
    <row r="1326" spans="1:10" x14ac:dyDescent="0.25">
      <c r="A1326">
        <v>1325</v>
      </c>
      <c r="B1326" s="2">
        <v>43525</v>
      </c>
      <c r="C1326">
        <v>8</v>
      </c>
      <c r="D1326" s="1" t="s">
        <v>34</v>
      </c>
      <c r="E1326" s="1" t="s">
        <v>19</v>
      </c>
      <c r="F1326" s="1" t="s">
        <v>20</v>
      </c>
      <c r="G1326" s="1" t="s">
        <v>32</v>
      </c>
      <c r="H1326">
        <v>399</v>
      </c>
      <c r="I1326">
        <v>3</v>
      </c>
      <c r="J1326">
        <v>1197</v>
      </c>
    </row>
    <row r="1327" spans="1:10" x14ac:dyDescent="0.25">
      <c r="A1327">
        <v>1326</v>
      </c>
      <c r="B1327" s="2">
        <v>43525</v>
      </c>
      <c r="C1327">
        <v>8</v>
      </c>
      <c r="D1327" s="1" t="s">
        <v>34</v>
      </c>
      <c r="E1327" s="1" t="s">
        <v>35</v>
      </c>
      <c r="F1327" s="1" t="s">
        <v>20</v>
      </c>
      <c r="G1327" s="1" t="s">
        <v>21</v>
      </c>
      <c r="H1327">
        <v>159</v>
      </c>
      <c r="I1327">
        <v>5</v>
      </c>
      <c r="J1327">
        <v>795</v>
      </c>
    </row>
    <row r="1328" spans="1:10" x14ac:dyDescent="0.25">
      <c r="A1328">
        <v>1327</v>
      </c>
      <c r="B1328" s="2">
        <v>43525</v>
      </c>
      <c r="C1328">
        <v>3</v>
      </c>
      <c r="D1328" s="1" t="s">
        <v>33</v>
      </c>
      <c r="E1328" s="1" t="s">
        <v>15</v>
      </c>
      <c r="F1328" s="1" t="s">
        <v>16</v>
      </c>
      <c r="G1328" s="1" t="s">
        <v>13</v>
      </c>
      <c r="H1328">
        <v>199</v>
      </c>
      <c r="I1328">
        <v>6</v>
      </c>
      <c r="J1328">
        <v>1194</v>
      </c>
    </row>
    <row r="1329" spans="1:10" x14ac:dyDescent="0.25">
      <c r="A1329">
        <v>1328</v>
      </c>
      <c r="B1329" s="2">
        <v>43526</v>
      </c>
      <c r="C1329">
        <v>1</v>
      </c>
      <c r="D1329" s="1" t="s">
        <v>14</v>
      </c>
      <c r="E1329" s="1" t="s">
        <v>43</v>
      </c>
      <c r="F1329" s="1" t="s">
        <v>16</v>
      </c>
      <c r="G1329" s="1" t="s">
        <v>21</v>
      </c>
      <c r="H1329">
        <v>159</v>
      </c>
      <c r="I1329">
        <v>6</v>
      </c>
      <c r="J1329">
        <v>954</v>
      </c>
    </row>
    <row r="1330" spans="1:10" x14ac:dyDescent="0.25">
      <c r="A1330">
        <v>1329</v>
      </c>
      <c r="B1330" s="2">
        <v>43526</v>
      </c>
      <c r="C1330">
        <v>19</v>
      </c>
      <c r="D1330" s="1" t="s">
        <v>38</v>
      </c>
      <c r="E1330" s="1" t="s">
        <v>29</v>
      </c>
      <c r="F1330" s="1" t="s">
        <v>24</v>
      </c>
      <c r="G1330" s="1" t="s">
        <v>17</v>
      </c>
      <c r="H1330">
        <v>289</v>
      </c>
      <c r="I1330">
        <v>7</v>
      </c>
      <c r="J1330">
        <v>2023</v>
      </c>
    </row>
    <row r="1331" spans="1:10" x14ac:dyDescent="0.25">
      <c r="A1331">
        <v>1330</v>
      </c>
      <c r="B1331" s="2">
        <v>43526</v>
      </c>
      <c r="C1331">
        <v>7</v>
      </c>
      <c r="D1331" s="1" t="s">
        <v>44</v>
      </c>
      <c r="E1331" s="1" t="s">
        <v>19</v>
      </c>
      <c r="F1331" s="1" t="s">
        <v>20</v>
      </c>
      <c r="G1331" s="1" t="s">
        <v>32</v>
      </c>
      <c r="H1331">
        <v>399</v>
      </c>
      <c r="I1331">
        <v>7</v>
      </c>
      <c r="J1331">
        <v>2793</v>
      </c>
    </row>
    <row r="1332" spans="1:10" x14ac:dyDescent="0.25">
      <c r="A1332">
        <v>1331</v>
      </c>
      <c r="B1332" s="2">
        <v>43527</v>
      </c>
      <c r="C1332">
        <v>5</v>
      </c>
      <c r="D1332" s="1" t="s">
        <v>40</v>
      </c>
      <c r="E1332" s="1" t="s">
        <v>43</v>
      </c>
      <c r="F1332" s="1" t="s">
        <v>16</v>
      </c>
      <c r="G1332" s="1" t="s">
        <v>17</v>
      </c>
      <c r="H1332">
        <v>289</v>
      </c>
      <c r="I1332">
        <v>5</v>
      </c>
      <c r="J1332">
        <v>1445</v>
      </c>
    </row>
    <row r="1333" spans="1:10" x14ac:dyDescent="0.25">
      <c r="A1333">
        <v>1332</v>
      </c>
      <c r="B1333" s="2">
        <v>43528</v>
      </c>
      <c r="C1333">
        <v>2</v>
      </c>
      <c r="D1333" s="1" t="s">
        <v>45</v>
      </c>
      <c r="E1333" s="1" t="s">
        <v>15</v>
      </c>
      <c r="F1333" s="1" t="s">
        <v>16</v>
      </c>
      <c r="G1333" s="1" t="s">
        <v>17</v>
      </c>
      <c r="H1333">
        <v>289</v>
      </c>
      <c r="I1333">
        <v>0</v>
      </c>
      <c r="J1333">
        <v>0</v>
      </c>
    </row>
    <row r="1334" spans="1:10" x14ac:dyDescent="0.25">
      <c r="A1334">
        <v>1333</v>
      </c>
      <c r="B1334" s="2">
        <v>43529</v>
      </c>
      <c r="C1334">
        <v>16</v>
      </c>
      <c r="D1334" s="1" t="s">
        <v>25</v>
      </c>
      <c r="E1334" s="1" t="s">
        <v>29</v>
      </c>
      <c r="F1334" s="1" t="s">
        <v>24</v>
      </c>
      <c r="G1334" s="1" t="s">
        <v>13</v>
      </c>
      <c r="H1334">
        <v>199</v>
      </c>
      <c r="I1334">
        <v>5</v>
      </c>
      <c r="J1334">
        <v>995</v>
      </c>
    </row>
    <row r="1335" spans="1:10" x14ac:dyDescent="0.25">
      <c r="A1335">
        <v>1334</v>
      </c>
      <c r="B1335" s="2">
        <v>43529</v>
      </c>
      <c r="C1335">
        <v>12</v>
      </c>
      <c r="D1335" s="1" t="s">
        <v>42</v>
      </c>
      <c r="E1335" s="1" t="s">
        <v>11</v>
      </c>
      <c r="F1335" s="1" t="s">
        <v>12</v>
      </c>
      <c r="G1335" s="1" t="s">
        <v>32</v>
      </c>
      <c r="H1335">
        <v>399</v>
      </c>
      <c r="I1335">
        <v>1</v>
      </c>
      <c r="J1335">
        <v>399</v>
      </c>
    </row>
    <row r="1336" spans="1:10" x14ac:dyDescent="0.25">
      <c r="A1336">
        <v>1335</v>
      </c>
      <c r="B1336" s="2">
        <v>43530</v>
      </c>
      <c r="C1336">
        <v>18</v>
      </c>
      <c r="D1336" s="1" t="s">
        <v>22</v>
      </c>
      <c r="E1336" s="1" t="s">
        <v>23</v>
      </c>
      <c r="F1336" s="1" t="s">
        <v>24</v>
      </c>
      <c r="G1336" s="1" t="s">
        <v>26</v>
      </c>
      <c r="H1336">
        <v>69</v>
      </c>
      <c r="I1336">
        <v>2</v>
      </c>
      <c r="J1336">
        <v>138</v>
      </c>
    </row>
    <row r="1337" spans="1:10" x14ac:dyDescent="0.25">
      <c r="A1337">
        <v>1336</v>
      </c>
      <c r="B1337" s="2">
        <v>43530</v>
      </c>
      <c r="C1337">
        <v>8</v>
      </c>
      <c r="D1337" s="1" t="s">
        <v>34</v>
      </c>
      <c r="E1337" s="1" t="s">
        <v>35</v>
      </c>
      <c r="F1337" s="1" t="s">
        <v>20</v>
      </c>
      <c r="G1337" s="1" t="s">
        <v>21</v>
      </c>
      <c r="H1337">
        <v>159</v>
      </c>
      <c r="I1337">
        <v>8</v>
      </c>
      <c r="J1337">
        <v>1272</v>
      </c>
    </row>
    <row r="1338" spans="1:10" x14ac:dyDescent="0.25">
      <c r="A1338">
        <v>1337</v>
      </c>
      <c r="B1338" s="2">
        <v>43530</v>
      </c>
      <c r="C1338">
        <v>19</v>
      </c>
      <c r="D1338" s="1" t="s">
        <v>38</v>
      </c>
      <c r="E1338" s="1" t="s">
        <v>23</v>
      </c>
      <c r="F1338" s="1" t="s">
        <v>24</v>
      </c>
      <c r="G1338" s="1" t="s">
        <v>21</v>
      </c>
      <c r="H1338">
        <v>159</v>
      </c>
      <c r="I1338">
        <v>5</v>
      </c>
      <c r="J1338">
        <v>795</v>
      </c>
    </row>
    <row r="1339" spans="1:10" x14ac:dyDescent="0.25">
      <c r="A1339">
        <v>1338</v>
      </c>
      <c r="B1339" s="2">
        <v>43531</v>
      </c>
      <c r="C1339">
        <v>9</v>
      </c>
      <c r="D1339" s="1" t="s">
        <v>18</v>
      </c>
      <c r="E1339" s="1" t="s">
        <v>35</v>
      </c>
      <c r="F1339" s="1" t="s">
        <v>20</v>
      </c>
      <c r="G1339" s="1" t="s">
        <v>32</v>
      </c>
      <c r="H1339">
        <v>399</v>
      </c>
      <c r="I1339">
        <v>0</v>
      </c>
      <c r="J1339">
        <v>0</v>
      </c>
    </row>
    <row r="1340" spans="1:10" x14ac:dyDescent="0.25">
      <c r="A1340">
        <v>1339</v>
      </c>
      <c r="B1340" s="2">
        <v>43531</v>
      </c>
      <c r="C1340">
        <v>19</v>
      </c>
      <c r="D1340" s="1" t="s">
        <v>38</v>
      </c>
      <c r="E1340" s="1" t="s">
        <v>23</v>
      </c>
      <c r="F1340" s="1" t="s">
        <v>24</v>
      </c>
      <c r="G1340" s="1" t="s">
        <v>26</v>
      </c>
      <c r="H1340">
        <v>69</v>
      </c>
      <c r="I1340">
        <v>7</v>
      </c>
      <c r="J1340">
        <v>483</v>
      </c>
    </row>
    <row r="1341" spans="1:10" x14ac:dyDescent="0.25">
      <c r="A1341">
        <v>1340</v>
      </c>
      <c r="B1341" s="2">
        <v>43531</v>
      </c>
      <c r="C1341">
        <v>2</v>
      </c>
      <c r="D1341" s="1" t="s">
        <v>45</v>
      </c>
      <c r="E1341" s="1" t="s">
        <v>15</v>
      </c>
      <c r="F1341" s="1" t="s">
        <v>16</v>
      </c>
      <c r="G1341" s="1" t="s">
        <v>13</v>
      </c>
      <c r="H1341">
        <v>199</v>
      </c>
      <c r="I1341">
        <v>7</v>
      </c>
      <c r="J1341">
        <v>1393</v>
      </c>
    </row>
    <row r="1342" spans="1:10" x14ac:dyDescent="0.25">
      <c r="A1342">
        <v>1341</v>
      </c>
      <c r="B1342" s="2">
        <v>43531</v>
      </c>
      <c r="C1342">
        <v>12</v>
      </c>
      <c r="D1342" s="1" t="s">
        <v>42</v>
      </c>
      <c r="E1342" s="1" t="s">
        <v>11</v>
      </c>
      <c r="F1342" s="1" t="s">
        <v>12</v>
      </c>
      <c r="G1342" s="1" t="s">
        <v>21</v>
      </c>
      <c r="H1342">
        <v>159</v>
      </c>
      <c r="I1342">
        <v>0</v>
      </c>
      <c r="J1342">
        <v>0</v>
      </c>
    </row>
    <row r="1343" spans="1:10" x14ac:dyDescent="0.25">
      <c r="A1343">
        <v>1342</v>
      </c>
      <c r="B1343" s="2">
        <v>43531</v>
      </c>
      <c r="C1343">
        <v>17</v>
      </c>
      <c r="D1343" s="1" t="s">
        <v>28</v>
      </c>
      <c r="E1343" s="1" t="s">
        <v>29</v>
      </c>
      <c r="F1343" s="1" t="s">
        <v>24</v>
      </c>
      <c r="G1343" s="1" t="s">
        <v>26</v>
      </c>
      <c r="H1343">
        <v>69</v>
      </c>
      <c r="I1343">
        <v>0</v>
      </c>
      <c r="J1343">
        <v>0</v>
      </c>
    </row>
    <row r="1344" spans="1:10" x14ac:dyDescent="0.25">
      <c r="A1344">
        <v>1343</v>
      </c>
      <c r="B1344" s="2">
        <v>43531</v>
      </c>
      <c r="C1344">
        <v>4</v>
      </c>
      <c r="D1344" s="1" t="s">
        <v>37</v>
      </c>
      <c r="E1344" s="1" t="s">
        <v>43</v>
      </c>
      <c r="F1344" s="1" t="s">
        <v>16</v>
      </c>
      <c r="G1344" s="1" t="s">
        <v>13</v>
      </c>
      <c r="H1344">
        <v>199</v>
      </c>
      <c r="I1344">
        <v>1</v>
      </c>
      <c r="J1344">
        <v>199</v>
      </c>
    </row>
    <row r="1345" spans="1:10" x14ac:dyDescent="0.25">
      <c r="A1345">
        <v>1344</v>
      </c>
      <c r="B1345" s="2">
        <v>43531</v>
      </c>
      <c r="C1345">
        <v>6</v>
      </c>
      <c r="D1345" s="1" t="s">
        <v>36</v>
      </c>
      <c r="E1345" s="1" t="s">
        <v>19</v>
      </c>
      <c r="F1345" s="1" t="s">
        <v>20</v>
      </c>
      <c r="G1345" s="1" t="s">
        <v>13</v>
      </c>
      <c r="H1345">
        <v>199</v>
      </c>
      <c r="I1345">
        <v>0</v>
      </c>
      <c r="J1345">
        <v>0</v>
      </c>
    </row>
    <row r="1346" spans="1:10" x14ac:dyDescent="0.25">
      <c r="A1346">
        <v>1345</v>
      </c>
      <c r="B1346" s="2">
        <v>43531</v>
      </c>
      <c r="C1346">
        <v>8</v>
      </c>
      <c r="D1346" s="1" t="s">
        <v>34</v>
      </c>
      <c r="E1346" s="1" t="s">
        <v>35</v>
      </c>
      <c r="F1346" s="1" t="s">
        <v>20</v>
      </c>
      <c r="G1346" s="1" t="s">
        <v>21</v>
      </c>
      <c r="H1346">
        <v>159</v>
      </c>
      <c r="I1346">
        <v>2</v>
      </c>
      <c r="J1346">
        <v>318</v>
      </c>
    </row>
    <row r="1347" spans="1:10" x14ac:dyDescent="0.25">
      <c r="A1347">
        <v>1346</v>
      </c>
      <c r="B1347" s="2">
        <v>43532</v>
      </c>
      <c r="C1347">
        <v>11</v>
      </c>
      <c r="D1347" s="1" t="s">
        <v>10</v>
      </c>
      <c r="E1347" s="1" t="s">
        <v>11</v>
      </c>
      <c r="F1347" s="1" t="s">
        <v>12</v>
      </c>
      <c r="G1347" s="1" t="s">
        <v>26</v>
      </c>
      <c r="H1347">
        <v>69</v>
      </c>
      <c r="I1347">
        <v>7</v>
      </c>
      <c r="J1347">
        <v>483</v>
      </c>
    </row>
    <row r="1348" spans="1:10" x14ac:dyDescent="0.25">
      <c r="A1348">
        <v>1347</v>
      </c>
      <c r="B1348" s="2">
        <v>43533</v>
      </c>
      <c r="C1348">
        <v>14</v>
      </c>
      <c r="D1348" s="1" t="s">
        <v>30</v>
      </c>
      <c r="E1348" s="1" t="s">
        <v>11</v>
      </c>
      <c r="F1348" s="1" t="s">
        <v>12</v>
      </c>
      <c r="G1348" s="1" t="s">
        <v>21</v>
      </c>
      <c r="H1348">
        <v>159</v>
      </c>
      <c r="I1348">
        <v>1</v>
      </c>
      <c r="J1348">
        <v>159</v>
      </c>
    </row>
    <row r="1349" spans="1:10" x14ac:dyDescent="0.25">
      <c r="A1349">
        <v>1348</v>
      </c>
      <c r="B1349" s="2">
        <v>43533</v>
      </c>
      <c r="C1349">
        <v>4</v>
      </c>
      <c r="D1349" s="1" t="s">
        <v>37</v>
      </c>
      <c r="E1349" s="1" t="s">
        <v>43</v>
      </c>
      <c r="F1349" s="1" t="s">
        <v>16</v>
      </c>
      <c r="G1349" s="1" t="s">
        <v>13</v>
      </c>
      <c r="H1349">
        <v>199</v>
      </c>
      <c r="I1349">
        <v>6</v>
      </c>
      <c r="J1349">
        <v>1194</v>
      </c>
    </row>
    <row r="1350" spans="1:10" x14ac:dyDescent="0.25">
      <c r="A1350">
        <v>1349</v>
      </c>
      <c r="B1350" s="2">
        <v>43533</v>
      </c>
      <c r="C1350">
        <v>19</v>
      </c>
      <c r="D1350" s="1" t="s">
        <v>38</v>
      </c>
      <c r="E1350" s="1" t="s">
        <v>29</v>
      </c>
      <c r="F1350" s="1" t="s">
        <v>24</v>
      </c>
      <c r="G1350" s="1" t="s">
        <v>13</v>
      </c>
      <c r="H1350">
        <v>199</v>
      </c>
      <c r="I1350">
        <v>4</v>
      </c>
      <c r="J1350">
        <v>796</v>
      </c>
    </row>
    <row r="1351" spans="1:10" x14ac:dyDescent="0.25">
      <c r="A1351">
        <v>1350</v>
      </c>
      <c r="B1351" s="2">
        <v>43533</v>
      </c>
      <c r="C1351">
        <v>8</v>
      </c>
      <c r="D1351" s="1" t="s">
        <v>34</v>
      </c>
      <c r="E1351" s="1" t="s">
        <v>19</v>
      </c>
      <c r="F1351" s="1" t="s">
        <v>20</v>
      </c>
      <c r="G1351" s="1" t="s">
        <v>13</v>
      </c>
      <c r="H1351">
        <v>199</v>
      </c>
      <c r="I1351">
        <v>7</v>
      </c>
      <c r="J1351">
        <v>1393</v>
      </c>
    </row>
    <row r="1352" spans="1:10" x14ac:dyDescent="0.25">
      <c r="A1352">
        <v>1351</v>
      </c>
      <c r="B1352" s="2">
        <v>43534</v>
      </c>
      <c r="C1352">
        <v>8</v>
      </c>
      <c r="D1352" s="1" t="s">
        <v>34</v>
      </c>
      <c r="E1352" s="1" t="s">
        <v>35</v>
      </c>
      <c r="F1352" s="1" t="s">
        <v>20</v>
      </c>
      <c r="G1352" s="1" t="s">
        <v>17</v>
      </c>
      <c r="H1352">
        <v>289</v>
      </c>
      <c r="I1352">
        <v>9</v>
      </c>
      <c r="J1352">
        <v>2601</v>
      </c>
    </row>
    <row r="1353" spans="1:10" x14ac:dyDescent="0.25">
      <c r="A1353">
        <v>1352</v>
      </c>
      <c r="B1353" s="2">
        <v>43534</v>
      </c>
      <c r="C1353">
        <v>15</v>
      </c>
      <c r="D1353" s="1" t="s">
        <v>46</v>
      </c>
      <c r="E1353" s="1" t="s">
        <v>41</v>
      </c>
      <c r="F1353" s="1" t="s">
        <v>12</v>
      </c>
      <c r="G1353" s="1" t="s">
        <v>13</v>
      </c>
      <c r="H1353">
        <v>199</v>
      </c>
      <c r="I1353">
        <v>2</v>
      </c>
      <c r="J1353">
        <v>398</v>
      </c>
    </row>
    <row r="1354" spans="1:10" x14ac:dyDescent="0.25">
      <c r="A1354">
        <v>1353</v>
      </c>
      <c r="B1354" s="2">
        <v>43534</v>
      </c>
      <c r="C1354">
        <v>6</v>
      </c>
      <c r="D1354" s="1" t="s">
        <v>36</v>
      </c>
      <c r="E1354" s="1" t="s">
        <v>35</v>
      </c>
      <c r="F1354" s="1" t="s">
        <v>20</v>
      </c>
      <c r="G1354" s="1" t="s">
        <v>26</v>
      </c>
      <c r="H1354">
        <v>69</v>
      </c>
      <c r="I1354">
        <v>5</v>
      </c>
      <c r="J1354">
        <v>345</v>
      </c>
    </row>
    <row r="1355" spans="1:10" x14ac:dyDescent="0.25">
      <c r="A1355">
        <v>1354</v>
      </c>
      <c r="B1355" s="2">
        <v>43534</v>
      </c>
      <c r="C1355">
        <v>19</v>
      </c>
      <c r="D1355" s="1" t="s">
        <v>38</v>
      </c>
      <c r="E1355" s="1" t="s">
        <v>23</v>
      </c>
      <c r="F1355" s="1" t="s">
        <v>24</v>
      </c>
      <c r="G1355" s="1" t="s">
        <v>32</v>
      </c>
      <c r="H1355">
        <v>399</v>
      </c>
      <c r="I1355">
        <v>3</v>
      </c>
      <c r="J1355">
        <v>1197</v>
      </c>
    </row>
    <row r="1356" spans="1:10" x14ac:dyDescent="0.25">
      <c r="A1356">
        <v>1355</v>
      </c>
      <c r="B1356" s="2">
        <v>43535</v>
      </c>
      <c r="C1356">
        <v>16</v>
      </c>
      <c r="D1356" s="1" t="s">
        <v>25</v>
      </c>
      <c r="E1356" s="1" t="s">
        <v>23</v>
      </c>
      <c r="F1356" s="1" t="s">
        <v>24</v>
      </c>
      <c r="G1356" s="1" t="s">
        <v>17</v>
      </c>
      <c r="H1356">
        <v>289</v>
      </c>
      <c r="I1356">
        <v>6</v>
      </c>
      <c r="J1356">
        <v>1734</v>
      </c>
    </row>
    <row r="1357" spans="1:10" x14ac:dyDescent="0.25">
      <c r="A1357">
        <v>1356</v>
      </c>
      <c r="B1357" s="2">
        <v>43535</v>
      </c>
      <c r="C1357">
        <v>7</v>
      </c>
      <c r="D1357" s="1" t="s">
        <v>44</v>
      </c>
      <c r="E1357" s="1" t="s">
        <v>19</v>
      </c>
      <c r="F1357" s="1" t="s">
        <v>20</v>
      </c>
      <c r="G1357" s="1" t="s">
        <v>26</v>
      </c>
      <c r="H1357">
        <v>69</v>
      </c>
      <c r="I1357">
        <v>1</v>
      </c>
      <c r="J1357">
        <v>69</v>
      </c>
    </row>
    <row r="1358" spans="1:10" x14ac:dyDescent="0.25">
      <c r="A1358">
        <v>1357</v>
      </c>
      <c r="B1358" s="2">
        <v>43535</v>
      </c>
      <c r="C1358">
        <v>4</v>
      </c>
      <c r="D1358" s="1" t="s">
        <v>37</v>
      </c>
      <c r="E1358" s="1" t="s">
        <v>15</v>
      </c>
      <c r="F1358" s="1" t="s">
        <v>16</v>
      </c>
      <c r="G1358" s="1" t="s">
        <v>17</v>
      </c>
      <c r="H1358">
        <v>289</v>
      </c>
      <c r="I1358">
        <v>6</v>
      </c>
      <c r="J1358">
        <v>1734</v>
      </c>
    </row>
    <row r="1359" spans="1:10" x14ac:dyDescent="0.25">
      <c r="A1359">
        <v>1358</v>
      </c>
      <c r="B1359" s="2">
        <v>43535</v>
      </c>
      <c r="C1359">
        <v>13</v>
      </c>
      <c r="D1359" s="1" t="s">
        <v>27</v>
      </c>
      <c r="E1359" s="1" t="s">
        <v>41</v>
      </c>
      <c r="F1359" s="1" t="s">
        <v>12</v>
      </c>
      <c r="G1359" s="1" t="s">
        <v>26</v>
      </c>
      <c r="H1359">
        <v>69</v>
      </c>
      <c r="I1359">
        <v>2</v>
      </c>
      <c r="J1359">
        <v>138</v>
      </c>
    </row>
    <row r="1360" spans="1:10" x14ac:dyDescent="0.25">
      <c r="A1360">
        <v>1359</v>
      </c>
      <c r="B1360" s="2">
        <v>43535</v>
      </c>
      <c r="C1360">
        <v>4</v>
      </c>
      <c r="D1360" s="1" t="s">
        <v>37</v>
      </c>
      <c r="E1360" s="1" t="s">
        <v>15</v>
      </c>
      <c r="F1360" s="1" t="s">
        <v>16</v>
      </c>
      <c r="G1360" s="1" t="s">
        <v>17</v>
      </c>
      <c r="H1360">
        <v>289</v>
      </c>
      <c r="I1360">
        <v>2</v>
      </c>
      <c r="J1360">
        <v>578</v>
      </c>
    </row>
    <row r="1361" spans="1:10" x14ac:dyDescent="0.25">
      <c r="A1361">
        <v>1360</v>
      </c>
      <c r="B1361" s="2">
        <v>43535</v>
      </c>
      <c r="C1361">
        <v>17</v>
      </c>
      <c r="D1361" s="1" t="s">
        <v>28</v>
      </c>
      <c r="E1361" s="1" t="s">
        <v>23</v>
      </c>
      <c r="F1361" s="1" t="s">
        <v>24</v>
      </c>
      <c r="G1361" s="1" t="s">
        <v>32</v>
      </c>
      <c r="H1361">
        <v>399</v>
      </c>
      <c r="I1361">
        <v>6</v>
      </c>
      <c r="J1361">
        <v>2394</v>
      </c>
    </row>
    <row r="1362" spans="1:10" x14ac:dyDescent="0.25">
      <c r="A1362">
        <v>1361</v>
      </c>
      <c r="B1362" s="2">
        <v>43535</v>
      </c>
      <c r="C1362">
        <v>3</v>
      </c>
      <c r="D1362" s="1" t="s">
        <v>33</v>
      </c>
      <c r="E1362" s="1" t="s">
        <v>15</v>
      </c>
      <c r="F1362" s="1" t="s">
        <v>16</v>
      </c>
      <c r="G1362" s="1" t="s">
        <v>17</v>
      </c>
      <c r="H1362">
        <v>289</v>
      </c>
      <c r="I1362">
        <v>5</v>
      </c>
      <c r="J1362">
        <v>1445</v>
      </c>
    </row>
    <row r="1363" spans="1:10" x14ac:dyDescent="0.25">
      <c r="A1363">
        <v>1362</v>
      </c>
      <c r="B1363" s="2">
        <v>43535</v>
      </c>
      <c r="C1363">
        <v>9</v>
      </c>
      <c r="D1363" s="1" t="s">
        <v>18</v>
      </c>
      <c r="E1363" s="1" t="s">
        <v>19</v>
      </c>
      <c r="F1363" s="1" t="s">
        <v>20</v>
      </c>
      <c r="G1363" s="1" t="s">
        <v>32</v>
      </c>
      <c r="H1363">
        <v>399</v>
      </c>
      <c r="I1363">
        <v>5</v>
      </c>
      <c r="J1363">
        <v>1995</v>
      </c>
    </row>
    <row r="1364" spans="1:10" x14ac:dyDescent="0.25">
      <c r="A1364">
        <v>1363</v>
      </c>
      <c r="B1364" s="2">
        <v>43535</v>
      </c>
      <c r="C1364">
        <v>2</v>
      </c>
      <c r="D1364" s="1" t="s">
        <v>45</v>
      </c>
      <c r="E1364" s="1" t="s">
        <v>15</v>
      </c>
      <c r="F1364" s="1" t="s">
        <v>16</v>
      </c>
      <c r="G1364" s="1" t="s">
        <v>26</v>
      </c>
      <c r="H1364">
        <v>69</v>
      </c>
      <c r="I1364">
        <v>4</v>
      </c>
      <c r="J1364">
        <v>276</v>
      </c>
    </row>
    <row r="1365" spans="1:10" x14ac:dyDescent="0.25">
      <c r="A1365">
        <v>1364</v>
      </c>
      <c r="B1365" s="2">
        <v>43535</v>
      </c>
      <c r="C1365">
        <v>15</v>
      </c>
      <c r="D1365" s="1" t="s">
        <v>46</v>
      </c>
      <c r="E1365" s="1" t="s">
        <v>11</v>
      </c>
      <c r="F1365" s="1" t="s">
        <v>12</v>
      </c>
      <c r="G1365" s="1" t="s">
        <v>21</v>
      </c>
      <c r="H1365">
        <v>159</v>
      </c>
      <c r="I1365">
        <v>9</v>
      </c>
      <c r="J1365">
        <v>1431</v>
      </c>
    </row>
    <row r="1366" spans="1:10" x14ac:dyDescent="0.25">
      <c r="A1366">
        <v>1365</v>
      </c>
      <c r="B1366" s="2">
        <v>43535</v>
      </c>
      <c r="C1366">
        <v>14</v>
      </c>
      <c r="D1366" s="1" t="s">
        <v>30</v>
      </c>
      <c r="E1366" s="1" t="s">
        <v>11</v>
      </c>
      <c r="F1366" s="1" t="s">
        <v>12</v>
      </c>
      <c r="G1366" s="1" t="s">
        <v>13</v>
      </c>
      <c r="H1366">
        <v>199</v>
      </c>
      <c r="I1366">
        <v>1</v>
      </c>
      <c r="J1366">
        <v>199</v>
      </c>
    </row>
    <row r="1367" spans="1:10" x14ac:dyDescent="0.25">
      <c r="A1367">
        <v>1366</v>
      </c>
      <c r="B1367" s="2">
        <v>43535</v>
      </c>
      <c r="C1367">
        <v>18</v>
      </c>
      <c r="D1367" s="1" t="s">
        <v>22</v>
      </c>
      <c r="E1367" s="1" t="s">
        <v>29</v>
      </c>
      <c r="F1367" s="1" t="s">
        <v>24</v>
      </c>
      <c r="G1367" s="1" t="s">
        <v>21</v>
      </c>
      <c r="H1367">
        <v>159</v>
      </c>
      <c r="I1367">
        <v>1</v>
      </c>
      <c r="J1367">
        <v>159</v>
      </c>
    </row>
    <row r="1368" spans="1:10" x14ac:dyDescent="0.25">
      <c r="A1368">
        <v>1367</v>
      </c>
      <c r="B1368" s="2">
        <v>43535</v>
      </c>
      <c r="C1368">
        <v>8</v>
      </c>
      <c r="D1368" s="1" t="s">
        <v>34</v>
      </c>
      <c r="E1368" s="1" t="s">
        <v>19</v>
      </c>
      <c r="F1368" s="1" t="s">
        <v>20</v>
      </c>
      <c r="G1368" s="1" t="s">
        <v>13</v>
      </c>
      <c r="H1368">
        <v>199</v>
      </c>
      <c r="I1368">
        <v>5</v>
      </c>
      <c r="J1368">
        <v>995</v>
      </c>
    </row>
    <row r="1369" spans="1:10" x14ac:dyDescent="0.25">
      <c r="A1369">
        <v>1368</v>
      </c>
      <c r="B1369" s="2">
        <v>43536</v>
      </c>
      <c r="C1369">
        <v>19</v>
      </c>
      <c r="D1369" s="1" t="s">
        <v>38</v>
      </c>
      <c r="E1369" s="1" t="s">
        <v>29</v>
      </c>
      <c r="F1369" s="1" t="s">
        <v>24</v>
      </c>
      <c r="G1369" s="1" t="s">
        <v>32</v>
      </c>
      <c r="H1369">
        <v>399</v>
      </c>
      <c r="I1369">
        <v>9</v>
      </c>
      <c r="J1369">
        <v>3591</v>
      </c>
    </row>
    <row r="1370" spans="1:10" x14ac:dyDescent="0.25">
      <c r="A1370">
        <v>1369</v>
      </c>
      <c r="B1370" s="2">
        <v>43537</v>
      </c>
      <c r="C1370">
        <v>11</v>
      </c>
      <c r="D1370" s="1" t="s">
        <v>10</v>
      </c>
      <c r="E1370" s="1" t="s">
        <v>11</v>
      </c>
      <c r="F1370" s="1" t="s">
        <v>12</v>
      </c>
      <c r="G1370" s="1" t="s">
        <v>13</v>
      </c>
      <c r="H1370">
        <v>199</v>
      </c>
      <c r="I1370">
        <v>0</v>
      </c>
      <c r="J1370">
        <v>0</v>
      </c>
    </row>
    <row r="1371" spans="1:10" x14ac:dyDescent="0.25">
      <c r="A1371">
        <v>1370</v>
      </c>
      <c r="B1371" s="2">
        <v>43537</v>
      </c>
      <c r="C1371">
        <v>19</v>
      </c>
      <c r="D1371" s="1" t="s">
        <v>38</v>
      </c>
      <c r="E1371" s="1" t="s">
        <v>23</v>
      </c>
      <c r="F1371" s="1" t="s">
        <v>24</v>
      </c>
      <c r="G1371" s="1" t="s">
        <v>32</v>
      </c>
      <c r="H1371">
        <v>399</v>
      </c>
      <c r="I1371">
        <v>2</v>
      </c>
      <c r="J1371">
        <v>798</v>
      </c>
    </row>
    <row r="1372" spans="1:10" x14ac:dyDescent="0.25">
      <c r="A1372">
        <v>1371</v>
      </c>
      <c r="B1372" s="2">
        <v>43537</v>
      </c>
      <c r="C1372">
        <v>15</v>
      </c>
      <c r="D1372" s="1" t="s">
        <v>46</v>
      </c>
      <c r="E1372" s="1" t="s">
        <v>11</v>
      </c>
      <c r="F1372" s="1" t="s">
        <v>12</v>
      </c>
      <c r="G1372" s="1" t="s">
        <v>32</v>
      </c>
      <c r="H1372">
        <v>399</v>
      </c>
      <c r="I1372">
        <v>9</v>
      </c>
      <c r="J1372">
        <v>3591</v>
      </c>
    </row>
    <row r="1373" spans="1:10" x14ac:dyDescent="0.25">
      <c r="A1373">
        <v>1372</v>
      </c>
      <c r="B1373" s="2">
        <v>43538</v>
      </c>
      <c r="C1373">
        <v>4</v>
      </c>
      <c r="D1373" s="1" t="s">
        <v>37</v>
      </c>
      <c r="E1373" s="1" t="s">
        <v>15</v>
      </c>
      <c r="F1373" s="1" t="s">
        <v>16</v>
      </c>
      <c r="G1373" s="1" t="s">
        <v>21</v>
      </c>
      <c r="H1373">
        <v>159</v>
      </c>
      <c r="I1373">
        <v>2</v>
      </c>
      <c r="J1373">
        <v>318</v>
      </c>
    </row>
    <row r="1374" spans="1:10" x14ac:dyDescent="0.25">
      <c r="A1374">
        <v>1373</v>
      </c>
      <c r="B1374" s="2">
        <v>43539</v>
      </c>
      <c r="C1374">
        <v>1</v>
      </c>
      <c r="D1374" s="1" t="s">
        <v>14</v>
      </c>
      <c r="E1374" s="1" t="s">
        <v>43</v>
      </c>
      <c r="F1374" s="1" t="s">
        <v>16</v>
      </c>
      <c r="G1374" s="1" t="s">
        <v>13</v>
      </c>
      <c r="H1374">
        <v>199</v>
      </c>
      <c r="I1374">
        <v>4</v>
      </c>
      <c r="J1374">
        <v>796</v>
      </c>
    </row>
    <row r="1375" spans="1:10" x14ac:dyDescent="0.25">
      <c r="A1375">
        <v>1374</v>
      </c>
      <c r="B1375" s="2">
        <v>43540</v>
      </c>
      <c r="C1375">
        <v>13</v>
      </c>
      <c r="D1375" s="1" t="s">
        <v>27</v>
      </c>
      <c r="E1375" s="1" t="s">
        <v>41</v>
      </c>
      <c r="F1375" s="1" t="s">
        <v>12</v>
      </c>
      <c r="G1375" s="1" t="s">
        <v>26</v>
      </c>
      <c r="H1375">
        <v>69</v>
      </c>
      <c r="I1375">
        <v>9</v>
      </c>
      <c r="J1375">
        <v>621</v>
      </c>
    </row>
    <row r="1376" spans="1:10" x14ac:dyDescent="0.25">
      <c r="A1376">
        <v>1375</v>
      </c>
      <c r="B1376" s="2">
        <v>43541</v>
      </c>
      <c r="C1376">
        <v>4</v>
      </c>
      <c r="D1376" s="1" t="s">
        <v>37</v>
      </c>
      <c r="E1376" s="1" t="s">
        <v>43</v>
      </c>
      <c r="F1376" s="1" t="s">
        <v>16</v>
      </c>
      <c r="G1376" s="1" t="s">
        <v>21</v>
      </c>
      <c r="H1376">
        <v>159</v>
      </c>
      <c r="I1376">
        <v>5</v>
      </c>
      <c r="J1376">
        <v>795</v>
      </c>
    </row>
    <row r="1377" spans="1:10" x14ac:dyDescent="0.25">
      <c r="A1377">
        <v>1376</v>
      </c>
      <c r="B1377" s="2">
        <v>43541</v>
      </c>
      <c r="C1377">
        <v>7</v>
      </c>
      <c r="D1377" s="1" t="s">
        <v>44</v>
      </c>
      <c r="E1377" s="1" t="s">
        <v>35</v>
      </c>
      <c r="F1377" s="1" t="s">
        <v>20</v>
      </c>
      <c r="G1377" s="1" t="s">
        <v>32</v>
      </c>
      <c r="H1377">
        <v>399</v>
      </c>
      <c r="I1377">
        <v>6</v>
      </c>
      <c r="J1377">
        <v>2394</v>
      </c>
    </row>
    <row r="1378" spans="1:10" x14ac:dyDescent="0.25">
      <c r="A1378">
        <v>1377</v>
      </c>
      <c r="B1378" s="2">
        <v>43541</v>
      </c>
      <c r="C1378">
        <v>14</v>
      </c>
      <c r="D1378" s="1" t="s">
        <v>30</v>
      </c>
      <c r="E1378" s="1" t="s">
        <v>11</v>
      </c>
      <c r="F1378" s="1" t="s">
        <v>12</v>
      </c>
      <c r="G1378" s="1" t="s">
        <v>21</v>
      </c>
      <c r="H1378">
        <v>159</v>
      </c>
      <c r="I1378">
        <v>6</v>
      </c>
      <c r="J1378">
        <v>954</v>
      </c>
    </row>
    <row r="1379" spans="1:10" x14ac:dyDescent="0.25">
      <c r="A1379">
        <v>1378</v>
      </c>
      <c r="B1379" s="2">
        <v>43541</v>
      </c>
      <c r="C1379">
        <v>14</v>
      </c>
      <c r="D1379" s="1" t="s">
        <v>30</v>
      </c>
      <c r="E1379" s="1" t="s">
        <v>11</v>
      </c>
      <c r="F1379" s="1" t="s">
        <v>12</v>
      </c>
      <c r="G1379" s="1" t="s">
        <v>32</v>
      </c>
      <c r="H1379">
        <v>399</v>
      </c>
      <c r="I1379">
        <v>7</v>
      </c>
      <c r="J1379">
        <v>2793</v>
      </c>
    </row>
    <row r="1380" spans="1:10" x14ac:dyDescent="0.25">
      <c r="A1380">
        <v>1379</v>
      </c>
      <c r="B1380" s="2">
        <v>43541</v>
      </c>
      <c r="C1380">
        <v>14</v>
      </c>
      <c r="D1380" s="1" t="s">
        <v>30</v>
      </c>
      <c r="E1380" s="1" t="s">
        <v>11</v>
      </c>
      <c r="F1380" s="1" t="s">
        <v>12</v>
      </c>
      <c r="G1380" s="1" t="s">
        <v>17</v>
      </c>
      <c r="H1380">
        <v>289</v>
      </c>
      <c r="I1380">
        <v>6</v>
      </c>
      <c r="J1380">
        <v>1734</v>
      </c>
    </row>
    <row r="1381" spans="1:10" x14ac:dyDescent="0.25">
      <c r="A1381">
        <v>1380</v>
      </c>
      <c r="B1381" s="2">
        <v>43541</v>
      </c>
      <c r="C1381">
        <v>11</v>
      </c>
      <c r="D1381" s="1" t="s">
        <v>10</v>
      </c>
      <c r="E1381" s="1" t="s">
        <v>41</v>
      </c>
      <c r="F1381" s="1" t="s">
        <v>12</v>
      </c>
      <c r="G1381" s="1" t="s">
        <v>21</v>
      </c>
      <c r="H1381">
        <v>159</v>
      </c>
      <c r="I1381">
        <v>4</v>
      </c>
      <c r="J1381">
        <v>636</v>
      </c>
    </row>
    <row r="1382" spans="1:10" x14ac:dyDescent="0.25">
      <c r="A1382">
        <v>1381</v>
      </c>
      <c r="B1382" s="2">
        <v>43542</v>
      </c>
      <c r="C1382">
        <v>11</v>
      </c>
      <c r="D1382" s="1" t="s">
        <v>10</v>
      </c>
      <c r="E1382" s="1" t="s">
        <v>41</v>
      </c>
      <c r="F1382" s="1" t="s">
        <v>12</v>
      </c>
      <c r="G1382" s="1" t="s">
        <v>21</v>
      </c>
      <c r="H1382">
        <v>159</v>
      </c>
      <c r="I1382">
        <v>9</v>
      </c>
      <c r="J1382">
        <v>1431</v>
      </c>
    </row>
    <row r="1383" spans="1:10" x14ac:dyDescent="0.25">
      <c r="A1383">
        <v>1382</v>
      </c>
      <c r="B1383" s="2">
        <v>43543</v>
      </c>
      <c r="C1383">
        <v>5</v>
      </c>
      <c r="D1383" s="1" t="s">
        <v>40</v>
      </c>
      <c r="E1383" s="1" t="s">
        <v>43</v>
      </c>
      <c r="F1383" s="1" t="s">
        <v>16</v>
      </c>
      <c r="G1383" s="1" t="s">
        <v>26</v>
      </c>
      <c r="H1383">
        <v>69</v>
      </c>
      <c r="I1383">
        <v>1</v>
      </c>
      <c r="J1383">
        <v>69</v>
      </c>
    </row>
    <row r="1384" spans="1:10" x14ac:dyDescent="0.25">
      <c r="A1384">
        <v>1383</v>
      </c>
      <c r="B1384" s="2">
        <v>43543</v>
      </c>
      <c r="C1384">
        <v>14</v>
      </c>
      <c r="D1384" s="1" t="s">
        <v>30</v>
      </c>
      <c r="E1384" s="1" t="s">
        <v>41</v>
      </c>
      <c r="F1384" s="1" t="s">
        <v>12</v>
      </c>
      <c r="G1384" s="1" t="s">
        <v>32</v>
      </c>
      <c r="H1384">
        <v>399</v>
      </c>
      <c r="I1384">
        <v>8</v>
      </c>
      <c r="J1384">
        <v>3192</v>
      </c>
    </row>
    <row r="1385" spans="1:10" x14ac:dyDescent="0.25">
      <c r="A1385">
        <v>1384</v>
      </c>
      <c r="B1385" s="2">
        <v>43543</v>
      </c>
      <c r="C1385">
        <v>15</v>
      </c>
      <c r="D1385" s="1" t="s">
        <v>46</v>
      </c>
      <c r="E1385" s="1" t="s">
        <v>11</v>
      </c>
      <c r="F1385" s="1" t="s">
        <v>12</v>
      </c>
      <c r="G1385" s="1" t="s">
        <v>13</v>
      </c>
      <c r="H1385">
        <v>199</v>
      </c>
      <c r="I1385">
        <v>9</v>
      </c>
      <c r="J1385">
        <v>1791</v>
      </c>
    </row>
    <row r="1386" spans="1:10" x14ac:dyDescent="0.25">
      <c r="A1386">
        <v>1385</v>
      </c>
      <c r="B1386" s="2">
        <v>43543</v>
      </c>
      <c r="C1386">
        <v>17</v>
      </c>
      <c r="D1386" s="1" t="s">
        <v>28</v>
      </c>
      <c r="E1386" s="1" t="s">
        <v>23</v>
      </c>
      <c r="F1386" s="1" t="s">
        <v>24</v>
      </c>
      <c r="G1386" s="1" t="s">
        <v>32</v>
      </c>
      <c r="H1386">
        <v>399</v>
      </c>
      <c r="I1386">
        <v>5</v>
      </c>
      <c r="J1386">
        <v>1995</v>
      </c>
    </row>
    <row r="1387" spans="1:10" x14ac:dyDescent="0.25">
      <c r="A1387">
        <v>1386</v>
      </c>
      <c r="B1387" s="2">
        <v>43543</v>
      </c>
      <c r="C1387">
        <v>2</v>
      </c>
      <c r="D1387" s="1" t="s">
        <v>45</v>
      </c>
      <c r="E1387" s="1" t="s">
        <v>43</v>
      </c>
      <c r="F1387" s="1" t="s">
        <v>16</v>
      </c>
      <c r="G1387" s="1" t="s">
        <v>13</v>
      </c>
      <c r="H1387">
        <v>199</v>
      </c>
      <c r="I1387">
        <v>8</v>
      </c>
      <c r="J1387">
        <v>1592</v>
      </c>
    </row>
    <row r="1388" spans="1:10" x14ac:dyDescent="0.25">
      <c r="A1388">
        <v>1387</v>
      </c>
      <c r="B1388" s="2">
        <v>43543</v>
      </c>
      <c r="C1388">
        <v>18</v>
      </c>
      <c r="D1388" s="1" t="s">
        <v>22</v>
      </c>
      <c r="E1388" s="1" t="s">
        <v>23</v>
      </c>
      <c r="F1388" s="1" t="s">
        <v>24</v>
      </c>
      <c r="G1388" s="1" t="s">
        <v>21</v>
      </c>
      <c r="H1388">
        <v>159</v>
      </c>
      <c r="I1388">
        <v>8</v>
      </c>
      <c r="J1388">
        <v>1272</v>
      </c>
    </row>
    <row r="1389" spans="1:10" x14ac:dyDescent="0.25">
      <c r="A1389">
        <v>1388</v>
      </c>
      <c r="B1389" s="2">
        <v>43543</v>
      </c>
      <c r="C1389">
        <v>9</v>
      </c>
      <c r="D1389" s="1" t="s">
        <v>18</v>
      </c>
      <c r="E1389" s="1" t="s">
        <v>35</v>
      </c>
      <c r="F1389" s="1" t="s">
        <v>20</v>
      </c>
      <c r="G1389" s="1" t="s">
        <v>32</v>
      </c>
      <c r="H1389">
        <v>399</v>
      </c>
      <c r="I1389">
        <v>9</v>
      </c>
      <c r="J1389">
        <v>3591</v>
      </c>
    </row>
    <row r="1390" spans="1:10" x14ac:dyDescent="0.25">
      <c r="A1390">
        <v>1389</v>
      </c>
      <c r="B1390" s="2">
        <v>43543</v>
      </c>
      <c r="C1390">
        <v>1</v>
      </c>
      <c r="D1390" s="1" t="s">
        <v>14</v>
      </c>
      <c r="E1390" s="1" t="s">
        <v>15</v>
      </c>
      <c r="F1390" s="1" t="s">
        <v>16</v>
      </c>
      <c r="G1390" s="1" t="s">
        <v>26</v>
      </c>
      <c r="H1390">
        <v>69</v>
      </c>
      <c r="I1390">
        <v>9</v>
      </c>
      <c r="J1390">
        <v>621</v>
      </c>
    </row>
    <row r="1391" spans="1:10" x14ac:dyDescent="0.25">
      <c r="A1391">
        <v>1390</v>
      </c>
      <c r="B1391" s="2">
        <v>43543</v>
      </c>
      <c r="C1391">
        <v>4</v>
      </c>
      <c r="D1391" s="1" t="s">
        <v>37</v>
      </c>
      <c r="E1391" s="1" t="s">
        <v>15</v>
      </c>
      <c r="F1391" s="1" t="s">
        <v>16</v>
      </c>
      <c r="G1391" s="1" t="s">
        <v>21</v>
      </c>
      <c r="H1391">
        <v>159</v>
      </c>
      <c r="I1391">
        <v>3</v>
      </c>
      <c r="J1391">
        <v>477</v>
      </c>
    </row>
    <row r="1392" spans="1:10" x14ac:dyDescent="0.25">
      <c r="A1392">
        <v>1391</v>
      </c>
      <c r="B1392" s="2">
        <v>43543</v>
      </c>
      <c r="C1392">
        <v>10</v>
      </c>
      <c r="D1392" s="1" t="s">
        <v>39</v>
      </c>
      <c r="E1392" s="1" t="s">
        <v>35</v>
      </c>
      <c r="F1392" s="1" t="s">
        <v>20</v>
      </c>
      <c r="G1392" s="1" t="s">
        <v>32</v>
      </c>
      <c r="H1392">
        <v>399</v>
      </c>
      <c r="I1392">
        <v>0</v>
      </c>
      <c r="J1392">
        <v>0</v>
      </c>
    </row>
    <row r="1393" spans="1:10" x14ac:dyDescent="0.25">
      <c r="A1393">
        <v>1392</v>
      </c>
      <c r="B1393" s="2">
        <v>43544</v>
      </c>
      <c r="C1393">
        <v>15</v>
      </c>
      <c r="D1393" s="1" t="s">
        <v>46</v>
      </c>
      <c r="E1393" s="1" t="s">
        <v>41</v>
      </c>
      <c r="F1393" s="1" t="s">
        <v>12</v>
      </c>
      <c r="G1393" s="1" t="s">
        <v>21</v>
      </c>
      <c r="H1393">
        <v>159</v>
      </c>
      <c r="I1393">
        <v>5</v>
      </c>
      <c r="J1393">
        <v>795</v>
      </c>
    </row>
    <row r="1394" spans="1:10" x14ac:dyDescent="0.25">
      <c r="A1394">
        <v>1393</v>
      </c>
      <c r="B1394" s="2">
        <v>43544</v>
      </c>
      <c r="C1394">
        <v>18</v>
      </c>
      <c r="D1394" s="1" t="s">
        <v>22</v>
      </c>
      <c r="E1394" s="1" t="s">
        <v>29</v>
      </c>
      <c r="F1394" s="1" t="s">
        <v>24</v>
      </c>
      <c r="G1394" s="1" t="s">
        <v>26</v>
      </c>
      <c r="H1394">
        <v>69</v>
      </c>
      <c r="I1394">
        <v>3</v>
      </c>
      <c r="J1394">
        <v>207</v>
      </c>
    </row>
    <row r="1395" spans="1:10" x14ac:dyDescent="0.25">
      <c r="A1395">
        <v>1394</v>
      </c>
      <c r="B1395" s="2">
        <v>43544</v>
      </c>
      <c r="C1395">
        <v>1</v>
      </c>
      <c r="D1395" s="1" t="s">
        <v>14</v>
      </c>
      <c r="E1395" s="1" t="s">
        <v>43</v>
      </c>
      <c r="F1395" s="1" t="s">
        <v>16</v>
      </c>
      <c r="G1395" s="1" t="s">
        <v>17</v>
      </c>
      <c r="H1395">
        <v>289</v>
      </c>
      <c r="I1395">
        <v>3</v>
      </c>
      <c r="J1395">
        <v>867</v>
      </c>
    </row>
    <row r="1396" spans="1:10" x14ac:dyDescent="0.25">
      <c r="A1396">
        <v>1395</v>
      </c>
      <c r="B1396" s="2">
        <v>43545</v>
      </c>
      <c r="C1396">
        <v>4</v>
      </c>
      <c r="D1396" s="1" t="s">
        <v>37</v>
      </c>
      <c r="E1396" s="1" t="s">
        <v>15</v>
      </c>
      <c r="F1396" s="1" t="s">
        <v>16</v>
      </c>
      <c r="G1396" s="1" t="s">
        <v>13</v>
      </c>
      <c r="H1396">
        <v>199</v>
      </c>
      <c r="I1396">
        <v>3</v>
      </c>
      <c r="J1396">
        <v>597</v>
      </c>
    </row>
    <row r="1397" spans="1:10" x14ac:dyDescent="0.25">
      <c r="A1397">
        <v>1396</v>
      </c>
      <c r="B1397" s="2">
        <v>43546</v>
      </c>
      <c r="C1397">
        <v>11</v>
      </c>
      <c r="D1397" s="1" t="s">
        <v>10</v>
      </c>
      <c r="E1397" s="1" t="s">
        <v>11</v>
      </c>
      <c r="F1397" s="1" t="s">
        <v>12</v>
      </c>
      <c r="G1397" s="1" t="s">
        <v>32</v>
      </c>
      <c r="H1397">
        <v>399</v>
      </c>
      <c r="I1397">
        <v>9</v>
      </c>
      <c r="J1397">
        <v>3591</v>
      </c>
    </row>
    <row r="1398" spans="1:10" x14ac:dyDescent="0.25">
      <c r="A1398">
        <v>1397</v>
      </c>
      <c r="B1398" s="2">
        <v>43547</v>
      </c>
      <c r="C1398">
        <v>2</v>
      </c>
      <c r="D1398" s="1" t="s">
        <v>45</v>
      </c>
      <c r="E1398" s="1" t="s">
        <v>15</v>
      </c>
      <c r="F1398" s="1" t="s">
        <v>16</v>
      </c>
      <c r="G1398" s="1" t="s">
        <v>21</v>
      </c>
      <c r="H1398">
        <v>159</v>
      </c>
      <c r="I1398">
        <v>5</v>
      </c>
      <c r="J1398">
        <v>795</v>
      </c>
    </row>
    <row r="1399" spans="1:10" x14ac:dyDescent="0.25">
      <c r="A1399">
        <v>1398</v>
      </c>
      <c r="B1399" s="2">
        <v>43547</v>
      </c>
      <c r="C1399">
        <v>17</v>
      </c>
      <c r="D1399" s="1" t="s">
        <v>28</v>
      </c>
      <c r="E1399" s="1" t="s">
        <v>23</v>
      </c>
      <c r="F1399" s="1" t="s">
        <v>24</v>
      </c>
      <c r="G1399" s="1" t="s">
        <v>17</v>
      </c>
      <c r="H1399">
        <v>289</v>
      </c>
      <c r="I1399">
        <v>2</v>
      </c>
      <c r="J1399">
        <v>578</v>
      </c>
    </row>
    <row r="1400" spans="1:10" x14ac:dyDescent="0.25">
      <c r="A1400">
        <v>1399</v>
      </c>
      <c r="B1400" s="2">
        <v>43547</v>
      </c>
      <c r="C1400">
        <v>2</v>
      </c>
      <c r="D1400" s="1" t="s">
        <v>45</v>
      </c>
      <c r="E1400" s="1" t="s">
        <v>43</v>
      </c>
      <c r="F1400" s="1" t="s">
        <v>16</v>
      </c>
      <c r="G1400" s="1" t="s">
        <v>13</v>
      </c>
      <c r="H1400">
        <v>199</v>
      </c>
      <c r="I1400">
        <v>8</v>
      </c>
      <c r="J1400">
        <v>1592</v>
      </c>
    </row>
    <row r="1401" spans="1:10" x14ac:dyDescent="0.25">
      <c r="A1401">
        <v>1400</v>
      </c>
      <c r="B1401" s="2">
        <v>43547</v>
      </c>
      <c r="C1401">
        <v>5</v>
      </c>
      <c r="D1401" s="1" t="s">
        <v>40</v>
      </c>
      <c r="E1401" s="1" t="s">
        <v>43</v>
      </c>
      <c r="F1401" s="1" t="s">
        <v>16</v>
      </c>
      <c r="G1401" s="1" t="s">
        <v>32</v>
      </c>
      <c r="H1401">
        <v>399</v>
      </c>
      <c r="I1401">
        <v>1</v>
      </c>
      <c r="J1401">
        <v>399</v>
      </c>
    </row>
    <row r="1402" spans="1:10" x14ac:dyDescent="0.25">
      <c r="A1402">
        <v>1401</v>
      </c>
      <c r="B1402" s="2">
        <v>43547</v>
      </c>
      <c r="C1402">
        <v>15</v>
      </c>
      <c r="D1402" s="1" t="s">
        <v>46</v>
      </c>
      <c r="E1402" s="1" t="s">
        <v>41</v>
      </c>
      <c r="F1402" s="1" t="s">
        <v>12</v>
      </c>
      <c r="G1402" s="1" t="s">
        <v>17</v>
      </c>
      <c r="H1402">
        <v>289</v>
      </c>
      <c r="I1402">
        <v>6</v>
      </c>
      <c r="J1402">
        <v>1734</v>
      </c>
    </row>
    <row r="1403" spans="1:10" x14ac:dyDescent="0.25">
      <c r="A1403">
        <v>1402</v>
      </c>
      <c r="B1403" s="2">
        <v>43547</v>
      </c>
      <c r="C1403">
        <v>8</v>
      </c>
      <c r="D1403" s="1" t="s">
        <v>34</v>
      </c>
      <c r="E1403" s="1" t="s">
        <v>35</v>
      </c>
      <c r="F1403" s="1" t="s">
        <v>20</v>
      </c>
      <c r="G1403" s="1" t="s">
        <v>26</v>
      </c>
      <c r="H1403">
        <v>69</v>
      </c>
      <c r="I1403">
        <v>8</v>
      </c>
      <c r="J1403">
        <v>552</v>
      </c>
    </row>
    <row r="1404" spans="1:10" x14ac:dyDescent="0.25">
      <c r="A1404">
        <v>1403</v>
      </c>
      <c r="B1404" s="2">
        <v>43547</v>
      </c>
      <c r="C1404">
        <v>9</v>
      </c>
      <c r="D1404" s="1" t="s">
        <v>18</v>
      </c>
      <c r="E1404" s="1" t="s">
        <v>19</v>
      </c>
      <c r="F1404" s="1" t="s">
        <v>20</v>
      </c>
      <c r="G1404" s="1" t="s">
        <v>32</v>
      </c>
      <c r="H1404">
        <v>399</v>
      </c>
      <c r="I1404">
        <v>9</v>
      </c>
      <c r="J1404">
        <v>3591</v>
      </c>
    </row>
    <row r="1405" spans="1:10" x14ac:dyDescent="0.25">
      <c r="A1405">
        <v>1404</v>
      </c>
      <c r="B1405" s="2">
        <v>43547</v>
      </c>
      <c r="C1405">
        <v>5</v>
      </c>
      <c r="D1405" s="1" t="s">
        <v>40</v>
      </c>
      <c r="E1405" s="1" t="s">
        <v>15</v>
      </c>
      <c r="F1405" s="1" t="s">
        <v>16</v>
      </c>
      <c r="G1405" s="1" t="s">
        <v>17</v>
      </c>
      <c r="H1405">
        <v>289</v>
      </c>
      <c r="I1405">
        <v>6</v>
      </c>
      <c r="J1405">
        <v>1734</v>
      </c>
    </row>
    <row r="1406" spans="1:10" x14ac:dyDescent="0.25">
      <c r="A1406">
        <v>1405</v>
      </c>
      <c r="B1406" s="2">
        <v>43547</v>
      </c>
      <c r="C1406">
        <v>11</v>
      </c>
      <c r="D1406" s="1" t="s">
        <v>10</v>
      </c>
      <c r="E1406" s="1" t="s">
        <v>41</v>
      </c>
      <c r="F1406" s="1" t="s">
        <v>12</v>
      </c>
      <c r="G1406" s="1" t="s">
        <v>13</v>
      </c>
      <c r="H1406">
        <v>199</v>
      </c>
      <c r="I1406">
        <v>8</v>
      </c>
      <c r="J1406">
        <v>1592</v>
      </c>
    </row>
    <row r="1407" spans="1:10" x14ac:dyDescent="0.25">
      <c r="A1407">
        <v>1406</v>
      </c>
      <c r="B1407" s="2">
        <v>43547</v>
      </c>
      <c r="C1407">
        <v>15</v>
      </c>
      <c r="D1407" s="1" t="s">
        <v>46</v>
      </c>
      <c r="E1407" s="1" t="s">
        <v>41</v>
      </c>
      <c r="F1407" s="1" t="s">
        <v>12</v>
      </c>
      <c r="G1407" s="1" t="s">
        <v>21</v>
      </c>
      <c r="H1407">
        <v>159</v>
      </c>
      <c r="I1407">
        <v>7</v>
      </c>
      <c r="J1407">
        <v>1113</v>
      </c>
    </row>
    <row r="1408" spans="1:10" x14ac:dyDescent="0.25">
      <c r="A1408">
        <v>1407</v>
      </c>
      <c r="B1408" s="2">
        <v>43548</v>
      </c>
      <c r="C1408">
        <v>12</v>
      </c>
      <c r="D1408" s="1" t="s">
        <v>42</v>
      </c>
      <c r="E1408" s="1" t="s">
        <v>41</v>
      </c>
      <c r="F1408" s="1" t="s">
        <v>12</v>
      </c>
      <c r="G1408" s="1" t="s">
        <v>32</v>
      </c>
      <c r="H1408">
        <v>399</v>
      </c>
      <c r="I1408">
        <v>8</v>
      </c>
      <c r="J1408">
        <v>3192</v>
      </c>
    </row>
    <row r="1409" spans="1:10" x14ac:dyDescent="0.25">
      <c r="A1409">
        <v>1408</v>
      </c>
      <c r="B1409" s="2">
        <v>43549</v>
      </c>
      <c r="C1409">
        <v>3</v>
      </c>
      <c r="D1409" s="1" t="s">
        <v>33</v>
      </c>
      <c r="E1409" s="1" t="s">
        <v>15</v>
      </c>
      <c r="F1409" s="1" t="s">
        <v>16</v>
      </c>
      <c r="G1409" s="1" t="s">
        <v>32</v>
      </c>
      <c r="H1409">
        <v>399</v>
      </c>
      <c r="I1409">
        <v>9</v>
      </c>
      <c r="J1409">
        <v>3591</v>
      </c>
    </row>
    <row r="1410" spans="1:10" x14ac:dyDescent="0.25">
      <c r="A1410">
        <v>1409</v>
      </c>
      <c r="B1410" s="2">
        <v>43549</v>
      </c>
      <c r="C1410">
        <v>18</v>
      </c>
      <c r="D1410" s="1" t="s">
        <v>22</v>
      </c>
      <c r="E1410" s="1" t="s">
        <v>29</v>
      </c>
      <c r="F1410" s="1" t="s">
        <v>24</v>
      </c>
      <c r="G1410" s="1" t="s">
        <v>32</v>
      </c>
      <c r="H1410">
        <v>399</v>
      </c>
      <c r="I1410">
        <v>3</v>
      </c>
      <c r="J1410">
        <v>1197</v>
      </c>
    </row>
    <row r="1411" spans="1:10" x14ac:dyDescent="0.25">
      <c r="A1411">
        <v>1410</v>
      </c>
      <c r="B1411" s="2">
        <v>43549</v>
      </c>
      <c r="C1411">
        <v>12</v>
      </c>
      <c r="D1411" s="1" t="s">
        <v>42</v>
      </c>
      <c r="E1411" s="1" t="s">
        <v>41</v>
      </c>
      <c r="F1411" s="1" t="s">
        <v>12</v>
      </c>
      <c r="G1411" s="1" t="s">
        <v>17</v>
      </c>
      <c r="H1411">
        <v>289</v>
      </c>
      <c r="I1411">
        <v>6</v>
      </c>
      <c r="J1411">
        <v>1734</v>
      </c>
    </row>
    <row r="1412" spans="1:10" x14ac:dyDescent="0.25">
      <c r="A1412">
        <v>1411</v>
      </c>
      <c r="B1412" s="2">
        <v>43550</v>
      </c>
      <c r="C1412">
        <v>8</v>
      </c>
      <c r="D1412" s="1" t="s">
        <v>34</v>
      </c>
      <c r="E1412" s="1" t="s">
        <v>35</v>
      </c>
      <c r="F1412" s="1" t="s">
        <v>20</v>
      </c>
      <c r="G1412" s="1" t="s">
        <v>13</v>
      </c>
      <c r="H1412">
        <v>199</v>
      </c>
      <c r="I1412">
        <v>1</v>
      </c>
      <c r="J1412">
        <v>199</v>
      </c>
    </row>
    <row r="1413" spans="1:10" x14ac:dyDescent="0.25">
      <c r="A1413">
        <v>1412</v>
      </c>
      <c r="B1413" s="2">
        <v>43550</v>
      </c>
      <c r="C1413">
        <v>19</v>
      </c>
      <c r="D1413" s="1" t="s">
        <v>38</v>
      </c>
      <c r="E1413" s="1" t="s">
        <v>29</v>
      </c>
      <c r="F1413" s="1" t="s">
        <v>24</v>
      </c>
      <c r="G1413" s="1" t="s">
        <v>17</v>
      </c>
      <c r="H1413">
        <v>289</v>
      </c>
      <c r="I1413">
        <v>3</v>
      </c>
      <c r="J1413">
        <v>867</v>
      </c>
    </row>
    <row r="1414" spans="1:10" x14ac:dyDescent="0.25">
      <c r="A1414">
        <v>1413</v>
      </c>
      <c r="B1414" s="2">
        <v>43551</v>
      </c>
      <c r="C1414">
        <v>4</v>
      </c>
      <c r="D1414" s="1" t="s">
        <v>37</v>
      </c>
      <c r="E1414" s="1" t="s">
        <v>15</v>
      </c>
      <c r="F1414" s="1" t="s">
        <v>16</v>
      </c>
      <c r="G1414" s="1" t="s">
        <v>32</v>
      </c>
      <c r="H1414">
        <v>399</v>
      </c>
      <c r="I1414">
        <v>6</v>
      </c>
      <c r="J1414">
        <v>2394</v>
      </c>
    </row>
    <row r="1415" spans="1:10" x14ac:dyDescent="0.25">
      <c r="A1415">
        <v>1414</v>
      </c>
      <c r="B1415" s="2">
        <v>43551</v>
      </c>
      <c r="C1415">
        <v>6</v>
      </c>
      <c r="D1415" s="1" t="s">
        <v>36</v>
      </c>
      <c r="E1415" s="1" t="s">
        <v>35</v>
      </c>
      <c r="F1415" s="1" t="s">
        <v>20</v>
      </c>
      <c r="G1415" s="1" t="s">
        <v>17</v>
      </c>
      <c r="H1415">
        <v>289</v>
      </c>
      <c r="I1415">
        <v>7</v>
      </c>
      <c r="J1415">
        <v>2023</v>
      </c>
    </row>
    <row r="1416" spans="1:10" x14ac:dyDescent="0.25">
      <c r="A1416">
        <v>1415</v>
      </c>
      <c r="B1416" s="2">
        <v>43551</v>
      </c>
      <c r="C1416">
        <v>17</v>
      </c>
      <c r="D1416" s="1" t="s">
        <v>28</v>
      </c>
      <c r="E1416" s="1" t="s">
        <v>29</v>
      </c>
      <c r="F1416" s="1" t="s">
        <v>24</v>
      </c>
      <c r="G1416" s="1" t="s">
        <v>21</v>
      </c>
      <c r="H1416">
        <v>159</v>
      </c>
      <c r="I1416">
        <v>7</v>
      </c>
      <c r="J1416">
        <v>1113</v>
      </c>
    </row>
    <row r="1417" spans="1:10" x14ac:dyDescent="0.25">
      <c r="A1417">
        <v>1416</v>
      </c>
      <c r="B1417" s="2">
        <v>43551</v>
      </c>
      <c r="C1417">
        <v>13</v>
      </c>
      <c r="D1417" s="1" t="s">
        <v>27</v>
      </c>
      <c r="E1417" s="1" t="s">
        <v>41</v>
      </c>
      <c r="F1417" s="1" t="s">
        <v>12</v>
      </c>
      <c r="G1417" s="1" t="s">
        <v>17</v>
      </c>
      <c r="H1417">
        <v>289</v>
      </c>
      <c r="I1417">
        <v>9</v>
      </c>
      <c r="J1417">
        <v>2601</v>
      </c>
    </row>
    <row r="1418" spans="1:10" x14ac:dyDescent="0.25">
      <c r="A1418">
        <v>1417</v>
      </c>
      <c r="B1418" s="2">
        <v>43551</v>
      </c>
      <c r="C1418">
        <v>18</v>
      </c>
      <c r="D1418" s="1" t="s">
        <v>22</v>
      </c>
      <c r="E1418" s="1" t="s">
        <v>23</v>
      </c>
      <c r="F1418" s="1" t="s">
        <v>24</v>
      </c>
      <c r="G1418" s="1" t="s">
        <v>13</v>
      </c>
      <c r="H1418">
        <v>199</v>
      </c>
      <c r="I1418">
        <v>2</v>
      </c>
      <c r="J1418">
        <v>398</v>
      </c>
    </row>
    <row r="1419" spans="1:10" x14ac:dyDescent="0.25">
      <c r="A1419">
        <v>1418</v>
      </c>
      <c r="B1419" s="2">
        <v>43552</v>
      </c>
      <c r="C1419">
        <v>1</v>
      </c>
      <c r="D1419" s="1" t="s">
        <v>14</v>
      </c>
      <c r="E1419" s="1" t="s">
        <v>43</v>
      </c>
      <c r="F1419" s="1" t="s">
        <v>16</v>
      </c>
      <c r="G1419" s="1" t="s">
        <v>17</v>
      </c>
      <c r="H1419">
        <v>289</v>
      </c>
      <c r="I1419">
        <v>9</v>
      </c>
      <c r="J1419">
        <v>2601</v>
      </c>
    </row>
    <row r="1420" spans="1:10" x14ac:dyDescent="0.25">
      <c r="A1420">
        <v>1419</v>
      </c>
      <c r="B1420" s="2">
        <v>43553</v>
      </c>
      <c r="C1420">
        <v>18</v>
      </c>
      <c r="D1420" s="1" t="s">
        <v>22</v>
      </c>
      <c r="E1420" s="1" t="s">
        <v>29</v>
      </c>
      <c r="F1420" s="1" t="s">
        <v>24</v>
      </c>
      <c r="G1420" s="1" t="s">
        <v>21</v>
      </c>
      <c r="H1420">
        <v>159</v>
      </c>
      <c r="I1420">
        <v>0</v>
      </c>
      <c r="J1420">
        <v>0</v>
      </c>
    </row>
    <row r="1421" spans="1:10" x14ac:dyDescent="0.25">
      <c r="A1421">
        <v>1420</v>
      </c>
      <c r="B1421" s="2">
        <v>43553</v>
      </c>
      <c r="C1421">
        <v>18</v>
      </c>
      <c r="D1421" s="1" t="s">
        <v>22</v>
      </c>
      <c r="E1421" s="1" t="s">
        <v>29</v>
      </c>
      <c r="F1421" s="1" t="s">
        <v>24</v>
      </c>
      <c r="G1421" s="1" t="s">
        <v>13</v>
      </c>
      <c r="H1421">
        <v>199</v>
      </c>
      <c r="I1421">
        <v>0</v>
      </c>
      <c r="J1421">
        <v>0</v>
      </c>
    </row>
    <row r="1422" spans="1:10" x14ac:dyDescent="0.25">
      <c r="A1422">
        <v>1421</v>
      </c>
      <c r="B1422" s="2">
        <v>43553</v>
      </c>
      <c r="C1422">
        <v>2</v>
      </c>
      <c r="D1422" s="1" t="s">
        <v>45</v>
      </c>
      <c r="E1422" s="1" t="s">
        <v>15</v>
      </c>
      <c r="F1422" s="1" t="s">
        <v>16</v>
      </c>
      <c r="G1422" s="1" t="s">
        <v>13</v>
      </c>
      <c r="H1422">
        <v>199</v>
      </c>
      <c r="I1422">
        <v>0</v>
      </c>
      <c r="J1422">
        <v>0</v>
      </c>
    </row>
    <row r="1423" spans="1:10" x14ac:dyDescent="0.25">
      <c r="A1423">
        <v>1422</v>
      </c>
      <c r="B1423" s="2">
        <v>43554</v>
      </c>
      <c r="C1423">
        <v>2</v>
      </c>
      <c r="D1423" s="1" t="s">
        <v>45</v>
      </c>
      <c r="E1423" s="1" t="s">
        <v>43</v>
      </c>
      <c r="F1423" s="1" t="s">
        <v>16</v>
      </c>
      <c r="G1423" s="1" t="s">
        <v>13</v>
      </c>
      <c r="H1423">
        <v>199</v>
      </c>
      <c r="I1423">
        <v>9</v>
      </c>
      <c r="J1423">
        <v>1791</v>
      </c>
    </row>
    <row r="1424" spans="1:10" x14ac:dyDescent="0.25">
      <c r="A1424">
        <v>1423</v>
      </c>
      <c r="B1424" s="2">
        <v>43554</v>
      </c>
      <c r="C1424">
        <v>7</v>
      </c>
      <c r="D1424" s="1" t="s">
        <v>44</v>
      </c>
      <c r="E1424" s="1" t="s">
        <v>19</v>
      </c>
      <c r="F1424" s="1" t="s">
        <v>20</v>
      </c>
      <c r="G1424" s="1" t="s">
        <v>32</v>
      </c>
      <c r="H1424">
        <v>399</v>
      </c>
      <c r="I1424">
        <v>2</v>
      </c>
      <c r="J1424">
        <v>798</v>
      </c>
    </row>
    <row r="1425" spans="1:10" x14ac:dyDescent="0.25">
      <c r="A1425">
        <v>1424</v>
      </c>
      <c r="B1425" s="2">
        <v>43555</v>
      </c>
      <c r="C1425">
        <v>19</v>
      </c>
      <c r="D1425" s="1" t="s">
        <v>38</v>
      </c>
      <c r="E1425" s="1" t="s">
        <v>29</v>
      </c>
      <c r="F1425" s="1" t="s">
        <v>24</v>
      </c>
      <c r="G1425" s="1" t="s">
        <v>17</v>
      </c>
      <c r="H1425">
        <v>289</v>
      </c>
      <c r="I1425">
        <v>8</v>
      </c>
      <c r="J1425">
        <v>2312</v>
      </c>
    </row>
    <row r="1426" spans="1:10" x14ac:dyDescent="0.25">
      <c r="A1426">
        <v>1425</v>
      </c>
      <c r="B1426" s="2">
        <v>43555</v>
      </c>
      <c r="C1426">
        <v>19</v>
      </c>
      <c r="D1426" s="1" t="s">
        <v>38</v>
      </c>
      <c r="E1426" s="1" t="s">
        <v>29</v>
      </c>
      <c r="F1426" s="1" t="s">
        <v>24</v>
      </c>
      <c r="G1426" s="1" t="s">
        <v>21</v>
      </c>
      <c r="H1426">
        <v>159</v>
      </c>
      <c r="I1426">
        <v>6</v>
      </c>
      <c r="J1426">
        <v>954</v>
      </c>
    </row>
    <row r="1427" spans="1:10" x14ac:dyDescent="0.25">
      <c r="A1427">
        <v>1426</v>
      </c>
      <c r="B1427" s="2">
        <v>43555</v>
      </c>
      <c r="C1427">
        <v>13</v>
      </c>
      <c r="D1427" s="1" t="s">
        <v>27</v>
      </c>
      <c r="E1427" s="1" t="s">
        <v>41</v>
      </c>
      <c r="F1427" s="1" t="s">
        <v>12</v>
      </c>
      <c r="G1427" s="1" t="s">
        <v>32</v>
      </c>
      <c r="H1427">
        <v>399</v>
      </c>
      <c r="I1427">
        <v>0</v>
      </c>
      <c r="J1427">
        <v>0</v>
      </c>
    </row>
    <row r="1428" spans="1:10" x14ac:dyDescent="0.25">
      <c r="A1428">
        <v>1427</v>
      </c>
      <c r="B1428" s="2">
        <v>43555</v>
      </c>
      <c r="C1428">
        <v>10</v>
      </c>
      <c r="D1428" s="1" t="s">
        <v>39</v>
      </c>
      <c r="E1428" s="1" t="s">
        <v>35</v>
      </c>
      <c r="F1428" s="1" t="s">
        <v>20</v>
      </c>
      <c r="G1428" s="1" t="s">
        <v>32</v>
      </c>
      <c r="H1428">
        <v>399</v>
      </c>
      <c r="I1428">
        <v>8</v>
      </c>
      <c r="J1428">
        <v>3192</v>
      </c>
    </row>
    <row r="1429" spans="1:10" x14ac:dyDescent="0.25">
      <c r="A1429">
        <v>1428</v>
      </c>
      <c r="B1429" s="2">
        <v>43555</v>
      </c>
      <c r="C1429">
        <v>5</v>
      </c>
      <c r="D1429" s="1" t="s">
        <v>40</v>
      </c>
      <c r="E1429" s="1" t="s">
        <v>43</v>
      </c>
      <c r="F1429" s="1" t="s">
        <v>16</v>
      </c>
      <c r="G1429" s="1" t="s">
        <v>13</v>
      </c>
      <c r="H1429">
        <v>199</v>
      </c>
      <c r="I1429">
        <v>9</v>
      </c>
      <c r="J1429">
        <v>1791</v>
      </c>
    </row>
    <row r="1430" spans="1:10" x14ac:dyDescent="0.25">
      <c r="A1430">
        <v>1429</v>
      </c>
      <c r="B1430" s="2">
        <v>43556</v>
      </c>
      <c r="C1430">
        <v>1</v>
      </c>
      <c r="D1430" s="1" t="s">
        <v>14</v>
      </c>
      <c r="E1430" s="1" t="s">
        <v>43</v>
      </c>
      <c r="F1430" s="1" t="s">
        <v>16</v>
      </c>
      <c r="G1430" s="1" t="s">
        <v>32</v>
      </c>
      <c r="H1430">
        <v>399</v>
      </c>
      <c r="I1430">
        <v>4</v>
      </c>
      <c r="J1430">
        <v>1596</v>
      </c>
    </row>
    <row r="1431" spans="1:10" x14ac:dyDescent="0.25">
      <c r="A1431">
        <v>1430</v>
      </c>
      <c r="B1431" s="2">
        <v>43556</v>
      </c>
      <c r="C1431">
        <v>10</v>
      </c>
      <c r="D1431" s="1" t="s">
        <v>39</v>
      </c>
      <c r="E1431" s="1" t="s">
        <v>19</v>
      </c>
      <c r="F1431" s="1" t="s">
        <v>20</v>
      </c>
      <c r="G1431" s="1" t="s">
        <v>13</v>
      </c>
      <c r="H1431">
        <v>199</v>
      </c>
      <c r="I1431">
        <v>6</v>
      </c>
      <c r="J1431">
        <v>1194</v>
      </c>
    </row>
    <row r="1432" spans="1:10" x14ac:dyDescent="0.25">
      <c r="A1432">
        <v>1431</v>
      </c>
      <c r="B1432" s="2">
        <v>43557</v>
      </c>
      <c r="C1432">
        <v>8</v>
      </c>
      <c r="D1432" s="1" t="s">
        <v>34</v>
      </c>
      <c r="E1432" s="1" t="s">
        <v>19</v>
      </c>
      <c r="F1432" s="1" t="s">
        <v>20</v>
      </c>
      <c r="G1432" s="1" t="s">
        <v>32</v>
      </c>
      <c r="H1432">
        <v>399</v>
      </c>
      <c r="I1432">
        <v>0</v>
      </c>
      <c r="J1432">
        <v>0</v>
      </c>
    </row>
    <row r="1433" spans="1:10" x14ac:dyDescent="0.25">
      <c r="A1433">
        <v>1432</v>
      </c>
      <c r="B1433" s="2">
        <v>43558</v>
      </c>
      <c r="C1433">
        <v>12</v>
      </c>
      <c r="D1433" s="1" t="s">
        <v>42</v>
      </c>
      <c r="E1433" s="1" t="s">
        <v>11</v>
      </c>
      <c r="F1433" s="1" t="s">
        <v>12</v>
      </c>
      <c r="G1433" s="1" t="s">
        <v>21</v>
      </c>
      <c r="H1433">
        <v>159</v>
      </c>
      <c r="I1433">
        <v>8</v>
      </c>
      <c r="J1433">
        <v>1272</v>
      </c>
    </row>
    <row r="1434" spans="1:10" x14ac:dyDescent="0.25">
      <c r="A1434">
        <v>1433</v>
      </c>
      <c r="B1434" s="2">
        <v>43559</v>
      </c>
      <c r="C1434">
        <v>5</v>
      </c>
      <c r="D1434" s="1" t="s">
        <v>40</v>
      </c>
      <c r="E1434" s="1" t="s">
        <v>43</v>
      </c>
      <c r="F1434" s="1" t="s">
        <v>16</v>
      </c>
      <c r="G1434" s="1" t="s">
        <v>26</v>
      </c>
      <c r="H1434">
        <v>69</v>
      </c>
      <c r="I1434">
        <v>5</v>
      </c>
      <c r="J1434">
        <v>345</v>
      </c>
    </row>
    <row r="1435" spans="1:10" x14ac:dyDescent="0.25">
      <c r="A1435">
        <v>1434</v>
      </c>
      <c r="B1435" s="2">
        <v>43559</v>
      </c>
      <c r="C1435">
        <v>8</v>
      </c>
      <c r="D1435" s="1" t="s">
        <v>34</v>
      </c>
      <c r="E1435" s="1" t="s">
        <v>19</v>
      </c>
      <c r="F1435" s="1" t="s">
        <v>20</v>
      </c>
      <c r="G1435" s="1" t="s">
        <v>21</v>
      </c>
      <c r="H1435">
        <v>159</v>
      </c>
      <c r="I1435">
        <v>4</v>
      </c>
      <c r="J1435">
        <v>636</v>
      </c>
    </row>
    <row r="1436" spans="1:10" x14ac:dyDescent="0.25">
      <c r="A1436">
        <v>1435</v>
      </c>
      <c r="B1436" s="2">
        <v>43559</v>
      </c>
      <c r="C1436">
        <v>19</v>
      </c>
      <c r="D1436" s="1" t="s">
        <v>38</v>
      </c>
      <c r="E1436" s="1" t="s">
        <v>23</v>
      </c>
      <c r="F1436" s="1" t="s">
        <v>24</v>
      </c>
      <c r="G1436" s="1" t="s">
        <v>17</v>
      </c>
      <c r="H1436">
        <v>289</v>
      </c>
      <c r="I1436">
        <v>2</v>
      </c>
      <c r="J1436">
        <v>578</v>
      </c>
    </row>
    <row r="1437" spans="1:10" x14ac:dyDescent="0.25">
      <c r="A1437">
        <v>1436</v>
      </c>
      <c r="B1437" s="2">
        <v>43559</v>
      </c>
      <c r="C1437">
        <v>20</v>
      </c>
      <c r="D1437" s="1" t="s">
        <v>31</v>
      </c>
      <c r="E1437" s="1" t="s">
        <v>23</v>
      </c>
      <c r="F1437" s="1" t="s">
        <v>24</v>
      </c>
      <c r="G1437" s="1" t="s">
        <v>26</v>
      </c>
      <c r="H1437">
        <v>69</v>
      </c>
      <c r="I1437">
        <v>9</v>
      </c>
      <c r="J1437">
        <v>621</v>
      </c>
    </row>
    <row r="1438" spans="1:10" x14ac:dyDescent="0.25">
      <c r="A1438">
        <v>1437</v>
      </c>
      <c r="B1438" s="2">
        <v>43560</v>
      </c>
      <c r="C1438">
        <v>7</v>
      </c>
      <c r="D1438" s="1" t="s">
        <v>44</v>
      </c>
      <c r="E1438" s="1" t="s">
        <v>35</v>
      </c>
      <c r="F1438" s="1" t="s">
        <v>20</v>
      </c>
      <c r="G1438" s="1" t="s">
        <v>13</v>
      </c>
      <c r="H1438">
        <v>199</v>
      </c>
      <c r="I1438">
        <v>8</v>
      </c>
      <c r="J1438">
        <v>1592</v>
      </c>
    </row>
    <row r="1439" spans="1:10" x14ac:dyDescent="0.25">
      <c r="A1439">
        <v>1438</v>
      </c>
      <c r="B1439" s="2">
        <v>43560</v>
      </c>
      <c r="C1439">
        <v>4</v>
      </c>
      <c r="D1439" s="1" t="s">
        <v>37</v>
      </c>
      <c r="E1439" s="1" t="s">
        <v>43</v>
      </c>
      <c r="F1439" s="1" t="s">
        <v>16</v>
      </c>
      <c r="G1439" s="1" t="s">
        <v>26</v>
      </c>
      <c r="H1439">
        <v>69</v>
      </c>
      <c r="I1439">
        <v>7</v>
      </c>
      <c r="J1439">
        <v>483</v>
      </c>
    </row>
    <row r="1440" spans="1:10" x14ac:dyDescent="0.25">
      <c r="A1440">
        <v>1439</v>
      </c>
      <c r="B1440" s="2">
        <v>43560</v>
      </c>
      <c r="C1440">
        <v>16</v>
      </c>
      <c r="D1440" s="1" t="s">
        <v>25</v>
      </c>
      <c r="E1440" s="1" t="s">
        <v>29</v>
      </c>
      <c r="F1440" s="1" t="s">
        <v>24</v>
      </c>
      <c r="G1440" s="1" t="s">
        <v>13</v>
      </c>
      <c r="H1440">
        <v>199</v>
      </c>
      <c r="I1440">
        <v>9</v>
      </c>
      <c r="J1440">
        <v>1791</v>
      </c>
    </row>
    <row r="1441" spans="1:10" x14ac:dyDescent="0.25">
      <c r="A1441">
        <v>1440</v>
      </c>
      <c r="B1441" s="2">
        <v>43560</v>
      </c>
      <c r="C1441">
        <v>18</v>
      </c>
      <c r="D1441" s="1" t="s">
        <v>22</v>
      </c>
      <c r="E1441" s="1" t="s">
        <v>29</v>
      </c>
      <c r="F1441" s="1" t="s">
        <v>24</v>
      </c>
      <c r="G1441" s="1" t="s">
        <v>13</v>
      </c>
      <c r="H1441">
        <v>199</v>
      </c>
      <c r="I1441">
        <v>2</v>
      </c>
      <c r="J1441">
        <v>398</v>
      </c>
    </row>
    <row r="1442" spans="1:10" x14ac:dyDescent="0.25">
      <c r="A1442">
        <v>1441</v>
      </c>
      <c r="B1442" s="2">
        <v>43560</v>
      </c>
      <c r="C1442">
        <v>13</v>
      </c>
      <c r="D1442" s="1" t="s">
        <v>27</v>
      </c>
      <c r="E1442" s="1" t="s">
        <v>41</v>
      </c>
      <c r="F1442" s="1" t="s">
        <v>12</v>
      </c>
      <c r="G1442" s="1" t="s">
        <v>13</v>
      </c>
      <c r="H1442">
        <v>199</v>
      </c>
      <c r="I1442">
        <v>5</v>
      </c>
      <c r="J1442">
        <v>995</v>
      </c>
    </row>
    <row r="1443" spans="1:10" x14ac:dyDescent="0.25">
      <c r="A1443">
        <v>1442</v>
      </c>
      <c r="B1443" s="2">
        <v>43560</v>
      </c>
      <c r="C1443">
        <v>15</v>
      </c>
      <c r="D1443" s="1" t="s">
        <v>46</v>
      </c>
      <c r="E1443" s="1" t="s">
        <v>11</v>
      </c>
      <c r="F1443" s="1" t="s">
        <v>12</v>
      </c>
      <c r="G1443" s="1" t="s">
        <v>26</v>
      </c>
      <c r="H1443">
        <v>69</v>
      </c>
      <c r="I1443">
        <v>1</v>
      </c>
      <c r="J1443">
        <v>69</v>
      </c>
    </row>
    <row r="1444" spans="1:10" x14ac:dyDescent="0.25">
      <c r="A1444">
        <v>1443</v>
      </c>
      <c r="B1444" s="2">
        <v>43560</v>
      </c>
      <c r="C1444">
        <v>15</v>
      </c>
      <c r="D1444" s="1" t="s">
        <v>46</v>
      </c>
      <c r="E1444" s="1" t="s">
        <v>41</v>
      </c>
      <c r="F1444" s="1" t="s">
        <v>12</v>
      </c>
      <c r="G1444" s="1" t="s">
        <v>17</v>
      </c>
      <c r="H1444">
        <v>289</v>
      </c>
      <c r="I1444">
        <v>8</v>
      </c>
      <c r="J1444">
        <v>2312</v>
      </c>
    </row>
    <row r="1445" spans="1:10" x14ac:dyDescent="0.25">
      <c r="A1445">
        <v>1444</v>
      </c>
      <c r="B1445" s="2">
        <v>43561</v>
      </c>
      <c r="C1445">
        <v>3</v>
      </c>
      <c r="D1445" s="1" t="s">
        <v>33</v>
      </c>
      <c r="E1445" s="1" t="s">
        <v>15</v>
      </c>
      <c r="F1445" s="1" t="s">
        <v>16</v>
      </c>
      <c r="G1445" s="1" t="s">
        <v>17</v>
      </c>
      <c r="H1445">
        <v>289</v>
      </c>
      <c r="I1445">
        <v>2</v>
      </c>
      <c r="J1445">
        <v>578</v>
      </c>
    </row>
    <row r="1446" spans="1:10" x14ac:dyDescent="0.25">
      <c r="A1446">
        <v>1445</v>
      </c>
      <c r="B1446" s="2">
        <v>43561</v>
      </c>
      <c r="C1446">
        <v>1</v>
      </c>
      <c r="D1446" s="1" t="s">
        <v>14</v>
      </c>
      <c r="E1446" s="1" t="s">
        <v>43</v>
      </c>
      <c r="F1446" s="1" t="s">
        <v>16</v>
      </c>
      <c r="G1446" s="1" t="s">
        <v>13</v>
      </c>
      <c r="H1446">
        <v>199</v>
      </c>
      <c r="I1446">
        <v>3</v>
      </c>
      <c r="J1446">
        <v>597</v>
      </c>
    </row>
    <row r="1447" spans="1:10" x14ac:dyDescent="0.25">
      <c r="A1447">
        <v>1446</v>
      </c>
      <c r="B1447" s="2">
        <v>43562</v>
      </c>
      <c r="C1447">
        <v>12</v>
      </c>
      <c r="D1447" s="1" t="s">
        <v>42</v>
      </c>
      <c r="E1447" s="1" t="s">
        <v>41</v>
      </c>
      <c r="F1447" s="1" t="s">
        <v>12</v>
      </c>
      <c r="G1447" s="1" t="s">
        <v>32</v>
      </c>
      <c r="H1447">
        <v>399</v>
      </c>
      <c r="I1447">
        <v>5</v>
      </c>
      <c r="J1447">
        <v>1995</v>
      </c>
    </row>
    <row r="1448" spans="1:10" x14ac:dyDescent="0.25">
      <c r="A1448">
        <v>1447</v>
      </c>
      <c r="B1448" s="2">
        <v>43562</v>
      </c>
      <c r="C1448">
        <v>7</v>
      </c>
      <c r="D1448" s="1" t="s">
        <v>44</v>
      </c>
      <c r="E1448" s="1" t="s">
        <v>19</v>
      </c>
      <c r="F1448" s="1" t="s">
        <v>20</v>
      </c>
      <c r="G1448" s="1" t="s">
        <v>26</v>
      </c>
      <c r="H1448">
        <v>69</v>
      </c>
      <c r="I1448">
        <v>6</v>
      </c>
      <c r="J1448">
        <v>414</v>
      </c>
    </row>
    <row r="1449" spans="1:10" x14ac:dyDescent="0.25">
      <c r="A1449">
        <v>1448</v>
      </c>
      <c r="B1449" s="2">
        <v>43562</v>
      </c>
      <c r="C1449">
        <v>15</v>
      </c>
      <c r="D1449" s="1" t="s">
        <v>46</v>
      </c>
      <c r="E1449" s="1" t="s">
        <v>11</v>
      </c>
      <c r="F1449" s="1" t="s">
        <v>12</v>
      </c>
      <c r="G1449" s="1" t="s">
        <v>21</v>
      </c>
      <c r="H1449">
        <v>159</v>
      </c>
      <c r="I1449">
        <v>7</v>
      </c>
      <c r="J1449">
        <v>1113</v>
      </c>
    </row>
    <row r="1450" spans="1:10" x14ac:dyDescent="0.25">
      <c r="A1450">
        <v>1449</v>
      </c>
      <c r="B1450" s="2">
        <v>43562</v>
      </c>
      <c r="C1450">
        <v>20</v>
      </c>
      <c r="D1450" s="1" t="s">
        <v>31</v>
      </c>
      <c r="E1450" s="1" t="s">
        <v>29</v>
      </c>
      <c r="F1450" s="1" t="s">
        <v>24</v>
      </c>
      <c r="G1450" s="1" t="s">
        <v>21</v>
      </c>
      <c r="H1450">
        <v>159</v>
      </c>
      <c r="I1450">
        <v>9</v>
      </c>
      <c r="J1450">
        <v>1431</v>
      </c>
    </row>
    <row r="1451" spans="1:10" x14ac:dyDescent="0.25">
      <c r="A1451">
        <v>1450</v>
      </c>
      <c r="B1451" s="2">
        <v>43562</v>
      </c>
      <c r="C1451">
        <v>4</v>
      </c>
      <c r="D1451" s="1" t="s">
        <v>37</v>
      </c>
      <c r="E1451" s="1" t="s">
        <v>43</v>
      </c>
      <c r="F1451" s="1" t="s">
        <v>16</v>
      </c>
      <c r="G1451" s="1" t="s">
        <v>13</v>
      </c>
      <c r="H1451">
        <v>199</v>
      </c>
      <c r="I1451">
        <v>5</v>
      </c>
      <c r="J1451">
        <v>995</v>
      </c>
    </row>
    <row r="1452" spans="1:10" x14ac:dyDescent="0.25">
      <c r="A1452">
        <v>1451</v>
      </c>
      <c r="B1452" s="2">
        <v>43563</v>
      </c>
      <c r="C1452">
        <v>12</v>
      </c>
      <c r="D1452" s="1" t="s">
        <v>42</v>
      </c>
      <c r="E1452" s="1" t="s">
        <v>11</v>
      </c>
      <c r="F1452" s="1" t="s">
        <v>12</v>
      </c>
      <c r="G1452" s="1" t="s">
        <v>21</v>
      </c>
      <c r="H1452">
        <v>159</v>
      </c>
      <c r="I1452">
        <v>9</v>
      </c>
      <c r="J1452">
        <v>1431</v>
      </c>
    </row>
    <row r="1453" spans="1:10" x14ac:dyDescent="0.25">
      <c r="A1453">
        <v>1452</v>
      </c>
      <c r="B1453" s="2">
        <v>43564</v>
      </c>
      <c r="C1453">
        <v>9</v>
      </c>
      <c r="D1453" s="1" t="s">
        <v>18</v>
      </c>
      <c r="E1453" s="1" t="s">
        <v>35</v>
      </c>
      <c r="F1453" s="1" t="s">
        <v>20</v>
      </c>
      <c r="G1453" s="1" t="s">
        <v>32</v>
      </c>
      <c r="H1453">
        <v>399</v>
      </c>
      <c r="I1453">
        <v>5</v>
      </c>
      <c r="J1453">
        <v>1995</v>
      </c>
    </row>
    <row r="1454" spans="1:10" x14ac:dyDescent="0.25">
      <c r="A1454">
        <v>1453</v>
      </c>
      <c r="B1454" s="2">
        <v>43564</v>
      </c>
      <c r="C1454">
        <v>9</v>
      </c>
      <c r="D1454" s="1" t="s">
        <v>18</v>
      </c>
      <c r="E1454" s="1" t="s">
        <v>19</v>
      </c>
      <c r="F1454" s="1" t="s">
        <v>20</v>
      </c>
      <c r="G1454" s="1" t="s">
        <v>26</v>
      </c>
      <c r="H1454">
        <v>69</v>
      </c>
      <c r="I1454">
        <v>6</v>
      </c>
      <c r="J1454">
        <v>414</v>
      </c>
    </row>
    <row r="1455" spans="1:10" x14ac:dyDescent="0.25">
      <c r="A1455">
        <v>1454</v>
      </c>
      <c r="B1455" s="2">
        <v>43564</v>
      </c>
      <c r="C1455">
        <v>7</v>
      </c>
      <c r="D1455" s="1" t="s">
        <v>44</v>
      </c>
      <c r="E1455" s="1" t="s">
        <v>35</v>
      </c>
      <c r="F1455" s="1" t="s">
        <v>20</v>
      </c>
      <c r="G1455" s="1" t="s">
        <v>17</v>
      </c>
      <c r="H1455">
        <v>289</v>
      </c>
      <c r="I1455">
        <v>3</v>
      </c>
      <c r="J1455">
        <v>867</v>
      </c>
    </row>
    <row r="1456" spans="1:10" x14ac:dyDescent="0.25">
      <c r="A1456">
        <v>1455</v>
      </c>
      <c r="B1456" s="2">
        <v>43564</v>
      </c>
      <c r="C1456">
        <v>5</v>
      </c>
      <c r="D1456" s="1" t="s">
        <v>40</v>
      </c>
      <c r="E1456" s="1" t="s">
        <v>15</v>
      </c>
      <c r="F1456" s="1" t="s">
        <v>16</v>
      </c>
      <c r="G1456" s="1" t="s">
        <v>21</v>
      </c>
      <c r="H1456">
        <v>159</v>
      </c>
      <c r="I1456">
        <v>7</v>
      </c>
      <c r="J1456">
        <v>1113</v>
      </c>
    </row>
    <row r="1457" spans="1:10" x14ac:dyDescent="0.25">
      <c r="A1457">
        <v>1456</v>
      </c>
      <c r="B1457" s="2">
        <v>43564</v>
      </c>
      <c r="C1457">
        <v>17</v>
      </c>
      <c r="D1457" s="1" t="s">
        <v>28</v>
      </c>
      <c r="E1457" s="1" t="s">
        <v>23</v>
      </c>
      <c r="F1457" s="1" t="s">
        <v>24</v>
      </c>
      <c r="G1457" s="1" t="s">
        <v>13</v>
      </c>
      <c r="H1457">
        <v>199</v>
      </c>
      <c r="I1457">
        <v>7</v>
      </c>
      <c r="J1457">
        <v>1393</v>
      </c>
    </row>
    <row r="1458" spans="1:10" x14ac:dyDescent="0.25">
      <c r="A1458">
        <v>1457</v>
      </c>
      <c r="B1458" s="2">
        <v>43564</v>
      </c>
      <c r="C1458">
        <v>17</v>
      </c>
      <c r="D1458" s="1" t="s">
        <v>28</v>
      </c>
      <c r="E1458" s="1" t="s">
        <v>29</v>
      </c>
      <c r="F1458" s="1" t="s">
        <v>24</v>
      </c>
      <c r="G1458" s="1" t="s">
        <v>26</v>
      </c>
      <c r="H1458">
        <v>69</v>
      </c>
      <c r="I1458">
        <v>5</v>
      </c>
      <c r="J1458">
        <v>345</v>
      </c>
    </row>
    <row r="1459" spans="1:10" x14ac:dyDescent="0.25">
      <c r="A1459">
        <v>1458</v>
      </c>
      <c r="B1459" s="2">
        <v>43565</v>
      </c>
      <c r="C1459">
        <v>15</v>
      </c>
      <c r="D1459" s="1" t="s">
        <v>46</v>
      </c>
      <c r="E1459" s="1" t="s">
        <v>11</v>
      </c>
      <c r="F1459" s="1" t="s">
        <v>12</v>
      </c>
      <c r="G1459" s="1" t="s">
        <v>26</v>
      </c>
      <c r="H1459">
        <v>69</v>
      </c>
      <c r="I1459">
        <v>0</v>
      </c>
      <c r="J1459">
        <v>0</v>
      </c>
    </row>
    <row r="1460" spans="1:10" x14ac:dyDescent="0.25">
      <c r="A1460">
        <v>1459</v>
      </c>
      <c r="B1460" s="2">
        <v>43565</v>
      </c>
      <c r="C1460">
        <v>17</v>
      </c>
      <c r="D1460" s="1" t="s">
        <v>28</v>
      </c>
      <c r="E1460" s="1" t="s">
        <v>29</v>
      </c>
      <c r="F1460" s="1" t="s">
        <v>24</v>
      </c>
      <c r="G1460" s="1" t="s">
        <v>13</v>
      </c>
      <c r="H1460">
        <v>199</v>
      </c>
      <c r="I1460">
        <v>5</v>
      </c>
      <c r="J1460">
        <v>995</v>
      </c>
    </row>
    <row r="1461" spans="1:10" x14ac:dyDescent="0.25">
      <c r="A1461">
        <v>1460</v>
      </c>
      <c r="B1461" s="2">
        <v>43566</v>
      </c>
      <c r="C1461">
        <v>13</v>
      </c>
      <c r="D1461" s="1" t="s">
        <v>27</v>
      </c>
      <c r="E1461" s="1" t="s">
        <v>11</v>
      </c>
      <c r="F1461" s="1" t="s">
        <v>12</v>
      </c>
      <c r="G1461" s="1" t="s">
        <v>13</v>
      </c>
      <c r="H1461">
        <v>199</v>
      </c>
      <c r="I1461">
        <v>9</v>
      </c>
      <c r="J1461">
        <v>1791</v>
      </c>
    </row>
    <row r="1462" spans="1:10" x14ac:dyDescent="0.25">
      <c r="A1462">
        <v>1461</v>
      </c>
      <c r="B1462" s="2">
        <v>43566</v>
      </c>
      <c r="C1462">
        <v>16</v>
      </c>
      <c r="D1462" s="1" t="s">
        <v>25</v>
      </c>
      <c r="E1462" s="1" t="s">
        <v>23</v>
      </c>
      <c r="F1462" s="1" t="s">
        <v>24</v>
      </c>
      <c r="G1462" s="1" t="s">
        <v>21</v>
      </c>
      <c r="H1462">
        <v>159</v>
      </c>
      <c r="I1462">
        <v>8</v>
      </c>
      <c r="J1462">
        <v>1272</v>
      </c>
    </row>
    <row r="1463" spans="1:10" x14ac:dyDescent="0.25">
      <c r="A1463">
        <v>1462</v>
      </c>
      <c r="B1463" s="2">
        <v>43567</v>
      </c>
      <c r="C1463">
        <v>19</v>
      </c>
      <c r="D1463" s="1" t="s">
        <v>38</v>
      </c>
      <c r="E1463" s="1" t="s">
        <v>29</v>
      </c>
      <c r="F1463" s="1" t="s">
        <v>24</v>
      </c>
      <c r="G1463" s="1" t="s">
        <v>17</v>
      </c>
      <c r="H1463">
        <v>289</v>
      </c>
      <c r="I1463">
        <v>3</v>
      </c>
      <c r="J1463">
        <v>867</v>
      </c>
    </row>
    <row r="1464" spans="1:10" x14ac:dyDescent="0.25">
      <c r="A1464">
        <v>1463</v>
      </c>
      <c r="B1464" s="2">
        <v>43567</v>
      </c>
      <c r="C1464">
        <v>13</v>
      </c>
      <c r="D1464" s="1" t="s">
        <v>27</v>
      </c>
      <c r="E1464" s="1" t="s">
        <v>11</v>
      </c>
      <c r="F1464" s="1" t="s">
        <v>12</v>
      </c>
      <c r="G1464" s="1" t="s">
        <v>13</v>
      </c>
      <c r="H1464">
        <v>199</v>
      </c>
      <c r="I1464">
        <v>3</v>
      </c>
      <c r="J1464">
        <v>597</v>
      </c>
    </row>
    <row r="1465" spans="1:10" x14ac:dyDescent="0.25">
      <c r="A1465">
        <v>1464</v>
      </c>
      <c r="B1465" s="2">
        <v>43567</v>
      </c>
      <c r="C1465">
        <v>5</v>
      </c>
      <c r="D1465" s="1" t="s">
        <v>40</v>
      </c>
      <c r="E1465" s="1" t="s">
        <v>43</v>
      </c>
      <c r="F1465" s="1" t="s">
        <v>16</v>
      </c>
      <c r="G1465" s="1" t="s">
        <v>17</v>
      </c>
      <c r="H1465">
        <v>289</v>
      </c>
      <c r="I1465">
        <v>5</v>
      </c>
      <c r="J1465">
        <v>1445</v>
      </c>
    </row>
    <row r="1466" spans="1:10" x14ac:dyDescent="0.25">
      <c r="A1466">
        <v>1465</v>
      </c>
      <c r="B1466" s="2">
        <v>43568</v>
      </c>
      <c r="C1466">
        <v>13</v>
      </c>
      <c r="D1466" s="1" t="s">
        <v>27</v>
      </c>
      <c r="E1466" s="1" t="s">
        <v>41</v>
      </c>
      <c r="F1466" s="1" t="s">
        <v>12</v>
      </c>
      <c r="G1466" s="1" t="s">
        <v>32</v>
      </c>
      <c r="H1466">
        <v>399</v>
      </c>
      <c r="I1466">
        <v>0</v>
      </c>
      <c r="J1466">
        <v>0</v>
      </c>
    </row>
    <row r="1467" spans="1:10" x14ac:dyDescent="0.25">
      <c r="A1467">
        <v>1466</v>
      </c>
      <c r="B1467" s="2">
        <v>43569</v>
      </c>
      <c r="C1467">
        <v>9</v>
      </c>
      <c r="D1467" s="1" t="s">
        <v>18</v>
      </c>
      <c r="E1467" s="1" t="s">
        <v>19</v>
      </c>
      <c r="F1467" s="1" t="s">
        <v>20</v>
      </c>
      <c r="G1467" s="1" t="s">
        <v>32</v>
      </c>
      <c r="H1467">
        <v>399</v>
      </c>
      <c r="I1467">
        <v>7</v>
      </c>
      <c r="J1467">
        <v>2793</v>
      </c>
    </row>
    <row r="1468" spans="1:10" x14ac:dyDescent="0.25">
      <c r="A1468">
        <v>1467</v>
      </c>
      <c r="B1468" s="2">
        <v>43570</v>
      </c>
      <c r="C1468">
        <v>3</v>
      </c>
      <c r="D1468" s="1" t="s">
        <v>33</v>
      </c>
      <c r="E1468" s="1" t="s">
        <v>43</v>
      </c>
      <c r="F1468" s="1" t="s">
        <v>16</v>
      </c>
      <c r="G1468" s="1" t="s">
        <v>13</v>
      </c>
      <c r="H1468">
        <v>199</v>
      </c>
      <c r="I1468">
        <v>5</v>
      </c>
      <c r="J1468">
        <v>995</v>
      </c>
    </row>
    <row r="1469" spans="1:10" x14ac:dyDescent="0.25">
      <c r="A1469">
        <v>1468</v>
      </c>
      <c r="B1469" s="2">
        <v>43570</v>
      </c>
      <c r="C1469">
        <v>6</v>
      </c>
      <c r="D1469" s="1" t="s">
        <v>36</v>
      </c>
      <c r="E1469" s="1" t="s">
        <v>19</v>
      </c>
      <c r="F1469" s="1" t="s">
        <v>20</v>
      </c>
      <c r="G1469" s="1" t="s">
        <v>32</v>
      </c>
      <c r="H1469">
        <v>399</v>
      </c>
      <c r="I1469">
        <v>0</v>
      </c>
      <c r="J1469">
        <v>0</v>
      </c>
    </row>
    <row r="1470" spans="1:10" x14ac:dyDescent="0.25">
      <c r="A1470">
        <v>1469</v>
      </c>
      <c r="B1470" s="2">
        <v>43571</v>
      </c>
      <c r="C1470">
        <v>12</v>
      </c>
      <c r="D1470" s="1" t="s">
        <v>42</v>
      </c>
      <c r="E1470" s="1" t="s">
        <v>41</v>
      </c>
      <c r="F1470" s="1" t="s">
        <v>12</v>
      </c>
      <c r="G1470" s="1" t="s">
        <v>26</v>
      </c>
      <c r="H1470">
        <v>69</v>
      </c>
      <c r="I1470">
        <v>2</v>
      </c>
      <c r="J1470">
        <v>138</v>
      </c>
    </row>
    <row r="1471" spans="1:10" x14ac:dyDescent="0.25">
      <c r="A1471">
        <v>1470</v>
      </c>
      <c r="B1471" s="2">
        <v>43572</v>
      </c>
      <c r="C1471">
        <v>1</v>
      </c>
      <c r="D1471" s="1" t="s">
        <v>14</v>
      </c>
      <c r="E1471" s="1" t="s">
        <v>15</v>
      </c>
      <c r="F1471" s="1" t="s">
        <v>16</v>
      </c>
      <c r="G1471" s="1" t="s">
        <v>26</v>
      </c>
      <c r="H1471">
        <v>69</v>
      </c>
      <c r="I1471">
        <v>0</v>
      </c>
      <c r="J1471">
        <v>0</v>
      </c>
    </row>
    <row r="1472" spans="1:10" x14ac:dyDescent="0.25">
      <c r="A1472">
        <v>1471</v>
      </c>
      <c r="B1472" s="2">
        <v>43573</v>
      </c>
      <c r="C1472">
        <v>5</v>
      </c>
      <c r="D1472" s="1" t="s">
        <v>40</v>
      </c>
      <c r="E1472" s="1" t="s">
        <v>43</v>
      </c>
      <c r="F1472" s="1" t="s">
        <v>16</v>
      </c>
      <c r="G1472" s="1" t="s">
        <v>32</v>
      </c>
      <c r="H1472">
        <v>399</v>
      </c>
      <c r="I1472">
        <v>8</v>
      </c>
      <c r="J1472">
        <v>3192</v>
      </c>
    </row>
    <row r="1473" spans="1:10" x14ac:dyDescent="0.25">
      <c r="A1473">
        <v>1472</v>
      </c>
      <c r="B1473" s="2">
        <v>43573</v>
      </c>
      <c r="C1473">
        <v>19</v>
      </c>
      <c r="D1473" s="1" t="s">
        <v>38</v>
      </c>
      <c r="E1473" s="1" t="s">
        <v>29</v>
      </c>
      <c r="F1473" s="1" t="s">
        <v>24</v>
      </c>
      <c r="G1473" s="1" t="s">
        <v>26</v>
      </c>
      <c r="H1473">
        <v>69</v>
      </c>
      <c r="I1473">
        <v>0</v>
      </c>
      <c r="J1473">
        <v>0</v>
      </c>
    </row>
    <row r="1474" spans="1:10" x14ac:dyDescent="0.25">
      <c r="A1474">
        <v>1473</v>
      </c>
      <c r="B1474" s="2">
        <v>43573</v>
      </c>
      <c r="C1474">
        <v>12</v>
      </c>
      <c r="D1474" s="1" t="s">
        <v>42</v>
      </c>
      <c r="E1474" s="1" t="s">
        <v>11</v>
      </c>
      <c r="F1474" s="1" t="s">
        <v>12</v>
      </c>
      <c r="G1474" s="1" t="s">
        <v>17</v>
      </c>
      <c r="H1474">
        <v>289</v>
      </c>
      <c r="I1474">
        <v>5</v>
      </c>
      <c r="J1474">
        <v>1445</v>
      </c>
    </row>
    <row r="1475" spans="1:10" x14ac:dyDescent="0.25">
      <c r="A1475">
        <v>1474</v>
      </c>
      <c r="B1475" s="2">
        <v>43573</v>
      </c>
      <c r="C1475">
        <v>15</v>
      </c>
      <c r="D1475" s="1" t="s">
        <v>46</v>
      </c>
      <c r="E1475" s="1" t="s">
        <v>11</v>
      </c>
      <c r="F1475" s="1" t="s">
        <v>12</v>
      </c>
      <c r="G1475" s="1" t="s">
        <v>21</v>
      </c>
      <c r="H1475">
        <v>159</v>
      </c>
      <c r="I1475">
        <v>8</v>
      </c>
      <c r="J1475">
        <v>1272</v>
      </c>
    </row>
    <row r="1476" spans="1:10" x14ac:dyDescent="0.25">
      <c r="A1476">
        <v>1475</v>
      </c>
      <c r="B1476" s="2">
        <v>43573</v>
      </c>
      <c r="C1476">
        <v>13</v>
      </c>
      <c r="D1476" s="1" t="s">
        <v>27</v>
      </c>
      <c r="E1476" s="1" t="s">
        <v>11</v>
      </c>
      <c r="F1476" s="1" t="s">
        <v>12</v>
      </c>
      <c r="G1476" s="1" t="s">
        <v>32</v>
      </c>
      <c r="H1476">
        <v>399</v>
      </c>
      <c r="I1476">
        <v>5</v>
      </c>
      <c r="J1476">
        <v>1995</v>
      </c>
    </row>
    <row r="1477" spans="1:10" x14ac:dyDescent="0.25">
      <c r="A1477">
        <v>1476</v>
      </c>
      <c r="B1477" s="2">
        <v>43574</v>
      </c>
      <c r="C1477">
        <v>19</v>
      </c>
      <c r="D1477" s="1" t="s">
        <v>38</v>
      </c>
      <c r="E1477" s="1" t="s">
        <v>23</v>
      </c>
      <c r="F1477" s="1" t="s">
        <v>24</v>
      </c>
      <c r="G1477" s="1" t="s">
        <v>21</v>
      </c>
      <c r="H1477">
        <v>159</v>
      </c>
      <c r="I1477">
        <v>9</v>
      </c>
      <c r="J1477">
        <v>1431</v>
      </c>
    </row>
    <row r="1478" spans="1:10" x14ac:dyDescent="0.25">
      <c r="A1478">
        <v>1477</v>
      </c>
      <c r="B1478" s="2">
        <v>43574</v>
      </c>
      <c r="C1478">
        <v>4</v>
      </c>
      <c r="D1478" s="1" t="s">
        <v>37</v>
      </c>
      <c r="E1478" s="1" t="s">
        <v>15</v>
      </c>
      <c r="F1478" s="1" t="s">
        <v>16</v>
      </c>
      <c r="G1478" s="1" t="s">
        <v>32</v>
      </c>
      <c r="H1478">
        <v>399</v>
      </c>
      <c r="I1478">
        <v>7</v>
      </c>
      <c r="J1478">
        <v>2793</v>
      </c>
    </row>
    <row r="1479" spans="1:10" x14ac:dyDescent="0.25">
      <c r="A1479">
        <v>1478</v>
      </c>
      <c r="B1479" s="2">
        <v>43574</v>
      </c>
      <c r="C1479">
        <v>4</v>
      </c>
      <c r="D1479" s="1" t="s">
        <v>37</v>
      </c>
      <c r="E1479" s="1" t="s">
        <v>43</v>
      </c>
      <c r="F1479" s="1" t="s">
        <v>16</v>
      </c>
      <c r="G1479" s="1" t="s">
        <v>32</v>
      </c>
      <c r="H1479">
        <v>399</v>
      </c>
      <c r="I1479">
        <v>9</v>
      </c>
      <c r="J1479">
        <v>3591</v>
      </c>
    </row>
    <row r="1480" spans="1:10" x14ac:dyDescent="0.25">
      <c r="A1480">
        <v>1479</v>
      </c>
      <c r="B1480" s="2">
        <v>43574</v>
      </c>
      <c r="C1480">
        <v>10</v>
      </c>
      <c r="D1480" s="1" t="s">
        <v>39</v>
      </c>
      <c r="E1480" s="1" t="s">
        <v>19</v>
      </c>
      <c r="F1480" s="1" t="s">
        <v>20</v>
      </c>
      <c r="G1480" s="1" t="s">
        <v>32</v>
      </c>
      <c r="H1480">
        <v>399</v>
      </c>
      <c r="I1480">
        <v>4</v>
      </c>
      <c r="J1480">
        <v>1596</v>
      </c>
    </row>
    <row r="1481" spans="1:10" x14ac:dyDescent="0.25">
      <c r="A1481">
        <v>1480</v>
      </c>
      <c r="B1481" s="2">
        <v>43575</v>
      </c>
      <c r="C1481">
        <v>6</v>
      </c>
      <c r="D1481" s="1" t="s">
        <v>36</v>
      </c>
      <c r="E1481" s="1" t="s">
        <v>19</v>
      </c>
      <c r="F1481" s="1" t="s">
        <v>20</v>
      </c>
      <c r="G1481" s="1" t="s">
        <v>32</v>
      </c>
      <c r="H1481">
        <v>399</v>
      </c>
      <c r="I1481">
        <v>6</v>
      </c>
      <c r="J1481">
        <v>2394</v>
      </c>
    </row>
    <row r="1482" spans="1:10" x14ac:dyDescent="0.25">
      <c r="A1482">
        <v>1481</v>
      </c>
      <c r="B1482" s="2">
        <v>43575</v>
      </c>
      <c r="C1482">
        <v>18</v>
      </c>
      <c r="D1482" s="1" t="s">
        <v>22</v>
      </c>
      <c r="E1482" s="1" t="s">
        <v>29</v>
      </c>
      <c r="F1482" s="1" t="s">
        <v>24</v>
      </c>
      <c r="G1482" s="1" t="s">
        <v>21</v>
      </c>
      <c r="H1482">
        <v>159</v>
      </c>
      <c r="I1482">
        <v>8</v>
      </c>
      <c r="J1482">
        <v>1272</v>
      </c>
    </row>
    <row r="1483" spans="1:10" x14ac:dyDescent="0.25">
      <c r="A1483">
        <v>1482</v>
      </c>
      <c r="B1483" s="2">
        <v>43575</v>
      </c>
      <c r="C1483">
        <v>4</v>
      </c>
      <c r="D1483" s="1" t="s">
        <v>37</v>
      </c>
      <c r="E1483" s="1" t="s">
        <v>15</v>
      </c>
      <c r="F1483" s="1" t="s">
        <v>16</v>
      </c>
      <c r="G1483" s="1" t="s">
        <v>26</v>
      </c>
      <c r="H1483">
        <v>69</v>
      </c>
      <c r="I1483">
        <v>0</v>
      </c>
      <c r="J1483">
        <v>0</v>
      </c>
    </row>
    <row r="1484" spans="1:10" x14ac:dyDescent="0.25">
      <c r="A1484">
        <v>1483</v>
      </c>
      <c r="B1484" s="2">
        <v>43575</v>
      </c>
      <c r="C1484">
        <v>20</v>
      </c>
      <c r="D1484" s="1" t="s">
        <v>31</v>
      </c>
      <c r="E1484" s="1" t="s">
        <v>29</v>
      </c>
      <c r="F1484" s="1" t="s">
        <v>24</v>
      </c>
      <c r="G1484" s="1" t="s">
        <v>32</v>
      </c>
      <c r="H1484">
        <v>399</v>
      </c>
      <c r="I1484">
        <v>9</v>
      </c>
      <c r="J1484">
        <v>3591</v>
      </c>
    </row>
    <row r="1485" spans="1:10" x14ac:dyDescent="0.25">
      <c r="A1485">
        <v>1484</v>
      </c>
      <c r="B1485" s="2">
        <v>43576</v>
      </c>
      <c r="C1485">
        <v>18</v>
      </c>
      <c r="D1485" s="1" t="s">
        <v>22</v>
      </c>
      <c r="E1485" s="1" t="s">
        <v>29</v>
      </c>
      <c r="F1485" s="1" t="s">
        <v>24</v>
      </c>
      <c r="G1485" s="1" t="s">
        <v>26</v>
      </c>
      <c r="H1485">
        <v>69</v>
      </c>
      <c r="I1485">
        <v>2</v>
      </c>
      <c r="J1485">
        <v>138</v>
      </c>
    </row>
    <row r="1486" spans="1:10" x14ac:dyDescent="0.25">
      <c r="A1486">
        <v>1485</v>
      </c>
      <c r="B1486" s="2">
        <v>43576</v>
      </c>
      <c r="C1486">
        <v>6</v>
      </c>
      <c r="D1486" s="1" t="s">
        <v>36</v>
      </c>
      <c r="E1486" s="1" t="s">
        <v>35</v>
      </c>
      <c r="F1486" s="1" t="s">
        <v>20</v>
      </c>
      <c r="G1486" s="1" t="s">
        <v>17</v>
      </c>
      <c r="H1486">
        <v>289</v>
      </c>
      <c r="I1486">
        <v>5</v>
      </c>
      <c r="J1486">
        <v>1445</v>
      </c>
    </row>
    <row r="1487" spans="1:10" x14ac:dyDescent="0.25">
      <c r="A1487">
        <v>1486</v>
      </c>
      <c r="B1487" s="2">
        <v>43577</v>
      </c>
      <c r="C1487">
        <v>1</v>
      </c>
      <c r="D1487" s="1" t="s">
        <v>14</v>
      </c>
      <c r="E1487" s="1" t="s">
        <v>43</v>
      </c>
      <c r="F1487" s="1" t="s">
        <v>16</v>
      </c>
      <c r="G1487" s="1" t="s">
        <v>26</v>
      </c>
      <c r="H1487">
        <v>69</v>
      </c>
      <c r="I1487">
        <v>5</v>
      </c>
      <c r="J1487">
        <v>345</v>
      </c>
    </row>
    <row r="1488" spans="1:10" x14ac:dyDescent="0.25">
      <c r="A1488">
        <v>1487</v>
      </c>
      <c r="B1488" s="2">
        <v>43577</v>
      </c>
      <c r="C1488">
        <v>11</v>
      </c>
      <c r="D1488" s="1" t="s">
        <v>10</v>
      </c>
      <c r="E1488" s="1" t="s">
        <v>41</v>
      </c>
      <c r="F1488" s="1" t="s">
        <v>12</v>
      </c>
      <c r="G1488" s="1" t="s">
        <v>21</v>
      </c>
      <c r="H1488">
        <v>159</v>
      </c>
      <c r="I1488">
        <v>6</v>
      </c>
      <c r="J1488">
        <v>954</v>
      </c>
    </row>
    <row r="1489" spans="1:10" x14ac:dyDescent="0.25">
      <c r="A1489">
        <v>1488</v>
      </c>
      <c r="B1489" s="2">
        <v>43578</v>
      </c>
      <c r="C1489">
        <v>12</v>
      </c>
      <c r="D1489" s="1" t="s">
        <v>42</v>
      </c>
      <c r="E1489" s="1" t="s">
        <v>41</v>
      </c>
      <c r="F1489" s="1" t="s">
        <v>12</v>
      </c>
      <c r="G1489" s="1" t="s">
        <v>13</v>
      </c>
      <c r="H1489">
        <v>199</v>
      </c>
      <c r="I1489">
        <v>8</v>
      </c>
      <c r="J1489">
        <v>1592</v>
      </c>
    </row>
    <row r="1490" spans="1:10" x14ac:dyDescent="0.25">
      <c r="A1490">
        <v>1489</v>
      </c>
      <c r="B1490" s="2">
        <v>43578</v>
      </c>
      <c r="C1490">
        <v>6</v>
      </c>
      <c r="D1490" s="1" t="s">
        <v>36</v>
      </c>
      <c r="E1490" s="1" t="s">
        <v>35</v>
      </c>
      <c r="F1490" s="1" t="s">
        <v>20</v>
      </c>
      <c r="G1490" s="1" t="s">
        <v>26</v>
      </c>
      <c r="H1490">
        <v>69</v>
      </c>
      <c r="I1490">
        <v>4</v>
      </c>
      <c r="J1490">
        <v>276</v>
      </c>
    </row>
    <row r="1491" spans="1:10" x14ac:dyDescent="0.25">
      <c r="A1491">
        <v>1490</v>
      </c>
      <c r="B1491" s="2">
        <v>43578</v>
      </c>
      <c r="C1491">
        <v>19</v>
      </c>
      <c r="D1491" s="1" t="s">
        <v>38</v>
      </c>
      <c r="E1491" s="1" t="s">
        <v>23</v>
      </c>
      <c r="F1491" s="1" t="s">
        <v>24</v>
      </c>
      <c r="G1491" s="1" t="s">
        <v>32</v>
      </c>
      <c r="H1491">
        <v>399</v>
      </c>
      <c r="I1491">
        <v>1</v>
      </c>
      <c r="J1491">
        <v>399</v>
      </c>
    </row>
    <row r="1492" spans="1:10" x14ac:dyDescent="0.25">
      <c r="A1492">
        <v>1491</v>
      </c>
      <c r="B1492" s="2">
        <v>43578</v>
      </c>
      <c r="C1492">
        <v>5</v>
      </c>
      <c r="D1492" s="1" t="s">
        <v>40</v>
      </c>
      <c r="E1492" s="1" t="s">
        <v>15</v>
      </c>
      <c r="F1492" s="1" t="s">
        <v>16</v>
      </c>
      <c r="G1492" s="1" t="s">
        <v>32</v>
      </c>
      <c r="H1492">
        <v>399</v>
      </c>
      <c r="I1492">
        <v>8</v>
      </c>
      <c r="J1492">
        <v>3192</v>
      </c>
    </row>
    <row r="1493" spans="1:10" x14ac:dyDescent="0.25">
      <c r="A1493">
        <v>1492</v>
      </c>
      <c r="B1493" s="2">
        <v>43578</v>
      </c>
      <c r="C1493">
        <v>11</v>
      </c>
      <c r="D1493" s="1" t="s">
        <v>10</v>
      </c>
      <c r="E1493" s="1" t="s">
        <v>41</v>
      </c>
      <c r="F1493" s="1" t="s">
        <v>12</v>
      </c>
      <c r="G1493" s="1" t="s">
        <v>32</v>
      </c>
      <c r="H1493">
        <v>399</v>
      </c>
      <c r="I1493">
        <v>6</v>
      </c>
      <c r="J1493">
        <v>2394</v>
      </c>
    </row>
    <row r="1494" spans="1:10" x14ac:dyDescent="0.25">
      <c r="A1494">
        <v>1493</v>
      </c>
      <c r="B1494" s="2">
        <v>43578</v>
      </c>
      <c r="C1494">
        <v>8</v>
      </c>
      <c r="D1494" s="1" t="s">
        <v>34</v>
      </c>
      <c r="E1494" s="1" t="s">
        <v>35</v>
      </c>
      <c r="F1494" s="1" t="s">
        <v>20</v>
      </c>
      <c r="G1494" s="1" t="s">
        <v>32</v>
      </c>
      <c r="H1494">
        <v>399</v>
      </c>
      <c r="I1494">
        <v>2</v>
      </c>
      <c r="J1494">
        <v>798</v>
      </c>
    </row>
    <row r="1495" spans="1:10" x14ac:dyDescent="0.25">
      <c r="A1495">
        <v>1494</v>
      </c>
      <c r="B1495" s="2">
        <v>43579</v>
      </c>
      <c r="C1495">
        <v>3</v>
      </c>
      <c r="D1495" s="1" t="s">
        <v>33</v>
      </c>
      <c r="E1495" s="1" t="s">
        <v>43</v>
      </c>
      <c r="F1495" s="1" t="s">
        <v>16</v>
      </c>
      <c r="G1495" s="1" t="s">
        <v>17</v>
      </c>
      <c r="H1495">
        <v>289</v>
      </c>
      <c r="I1495">
        <v>6</v>
      </c>
      <c r="J1495">
        <v>1734</v>
      </c>
    </row>
    <row r="1496" spans="1:10" x14ac:dyDescent="0.25">
      <c r="A1496">
        <v>1495</v>
      </c>
      <c r="B1496" s="2">
        <v>43580</v>
      </c>
      <c r="C1496">
        <v>7</v>
      </c>
      <c r="D1496" s="1" t="s">
        <v>44</v>
      </c>
      <c r="E1496" s="1" t="s">
        <v>35</v>
      </c>
      <c r="F1496" s="1" t="s">
        <v>20</v>
      </c>
      <c r="G1496" s="1" t="s">
        <v>21</v>
      </c>
      <c r="H1496">
        <v>159</v>
      </c>
      <c r="I1496">
        <v>5</v>
      </c>
      <c r="J1496">
        <v>795</v>
      </c>
    </row>
    <row r="1497" spans="1:10" x14ac:dyDescent="0.25">
      <c r="A1497">
        <v>1496</v>
      </c>
      <c r="B1497" s="2">
        <v>43580</v>
      </c>
      <c r="C1497">
        <v>10</v>
      </c>
      <c r="D1497" s="1" t="s">
        <v>39</v>
      </c>
      <c r="E1497" s="1" t="s">
        <v>19</v>
      </c>
      <c r="F1497" s="1" t="s">
        <v>20</v>
      </c>
      <c r="G1497" s="1" t="s">
        <v>32</v>
      </c>
      <c r="H1497">
        <v>399</v>
      </c>
      <c r="I1497">
        <v>5</v>
      </c>
      <c r="J1497">
        <v>1995</v>
      </c>
    </row>
    <row r="1498" spans="1:10" x14ac:dyDescent="0.25">
      <c r="A1498">
        <v>1497</v>
      </c>
      <c r="B1498" s="2">
        <v>43581</v>
      </c>
      <c r="C1498">
        <v>13</v>
      </c>
      <c r="D1498" s="1" t="s">
        <v>27</v>
      </c>
      <c r="E1498" s="1" t="s">
        <v>41</v>
      </c>
      <c r="F1498" s="1" t="s">
        <v>12</v>
      </c>
      <c r="G1498" s="1" t="s">
        <v>13</v>
      </c>
      <c r="H1498">
        <v>199</v>
      </c>
      <c r="I1498">
        <v>5</v>
      </c>
      <c r="J1498">
        <v>995</v>
      </c>
    </row>
    <row r="1499" spans="1:10" x14ac:dyDescent="0.25">
      <c r="A1499">
        <v>1498</v>
      </c>
      <c r="B1499" s="2">
        <v>43581</v>
      </c>
      <c r="C1499">
        <v>1</v>
      </c>
      <c r="D1499" s="1" t="s">
        <v>14</v>
      </c>
      <c r="E1499" s="1" t="s">
        <v>43</v>
      </c>
      <c r="F1499" s="1" t="s">
        <v>16</v>
      </c>
      <c r="G1499" s="1" t="s">
        <v>17</v>
      </c>
      <c r="H1499">
        <v>289</v>
      </c>
      <c r="I1499">
        <v>4</v>
      </c>
      <c r="J1499">
        <v>1156</v>
      </c>
    </row>
    <row r="1500" spans="1:10" x14ac:dyDescent="0.25">
      <c r="A1500">
        <v>1499</v>
      </c>
      <c r="B1500" s="2">
        <v>43582</v>
      </c>
      <c r="C1500">
        <v>18</v>
      </c>
      <c r="D1500" s="1" t="s">
        <v>22</v>
      </c>
      <c r="E1500" s="1" t="s">
        <v>29</v>
      </c>
      <c r="F1500" s="1" t="s">
        <v>24</v>
      </c>
      <c r="G1500" s="1" t="s">
        <v>21</v>
      </c>
      <c r="H1500">
        <v>159</v>
      </c>
      <c r="I1500">
        <v>1</v>
      </c>
      <c r="J1500">
        <v>159</v>
      </c>
    </row>
    <row r="1501" spans="1:10" x14ac:dyDescent="0.25">
      <c r="A1501">
        <v>1500</v>
      </c>
      <c r="B1501" s="2">
        <v>43582</v>
      </c>
      <c r="C1501">
        <v>18</v>
      </c>
      <c r="D1501" s="1" t="s">
        <v>22</v>
      </c>
      <c r="E1501" s="1" t="s">
        <v>29</v>
      </c>
      <c r="F1501" s="1" t="s">
        <v>24</v>
      </c>
      <c r="G1501" s="1" t="s">
        <v>17</v>
      </c>
      <c r="H1501">
        <v>289</v>
      </c>
      <c r="I1501">
        <v>8</v>
      </c>
      <c r="J1501">
        <v>2312</v>
      </c>
    </row>
    <row r="1502" spans="1:10" x14ac:dyDescent="0.25">
      <c r="A1502">
        <v>1501</v>
      </c>
      <c r="B1502" s="2">
        <v>43583</v>
      </c>
      <c r="C1502">
        <v>8</v>
      </c>
      <c r="D1502" s="1" t="s">
        <v>34</v>
      </c>
      <c r="E1502" s="1" t="s">
        <v>19</v>
      </c>
      <c r="F1502" s="1" t="s">
        <v>20</v>
      </c>
      <c r="G1502" s="1" t="s">
        <v>26</v>
      </c>
      <c r="H1502">
        <v>69</v>
      </c>
      <c r="I1502">
        <v>8</v>
      </c>
      <c r="J1502">
        <v>552</v>
      </c>
    </row>
    <row r="1503" spans="1:10" x14ac:dyDescent="0.25">
      <c r="A1503">
        <v>1502</v>
      </c>
      <c r="B1503" s="2">
        <v>43584</v>
      </c>
      <c r="C1503">
        <v>7</v>
      </c>
      <c r="D1503" s="1" t="s">
        <v>44</v>
      </c>
      <c r="E1503" s="1" t="s">
        <v>19</v>
      </c>
      <c r="F1503" s="1" t="s">
        <v>20</v>
      </c>
      <c r="G1503" s="1" t="s">
        <v>21</v>
      </c>
      <c r="H1503">
        <v>159</v>
      </c>
      <c r="I1503">
        <v>7</v>
      </c>
      <c r="J1503">
        <v>1113</v>
      </c>
    </row>
    <row r="1504" spans="1:10" x14ac:dyDescent="0.25">
      <c r="A1504">
        <v>1503</v>
      </c>
      <c r="B1504" s="2">
        <v>43585</v>
      </c>
      <c r="C1504">
        <v>6</v>
      </c>
      <c r="D1504" s="1" t="s">
        <v>36</v>
      </c>
      <c r="E1504" s="1" t="s">
        <v>35</v>
      </c>
      <c r="F1504" s="1" t="s">
        <v>20</v>
      </c>
      <c r="G1504" s="1" t="s">
        <v>17</v>
      </c>
      <c r="H1504">
        <v>289</v>
      </c>
      <c r="I1504">
        <v>7</v>
      </c>
      <c r="J1504">
        <v>2023</v>
      </c>
    </row>
    <row r="1505" spans="1:10" x14ac:dyDescent="0.25">
      <c r="A1505">
        <v>1504</v>
      </c>
      <c r="B1505" s="2">
        <v>43585</v>
      </c>
      <c r="C1505">
        <v>11</v>
      </c>
      <c r="D1505" s="1" t="s">
        <v>10</v>
      </c>
      <c r="E1505" s="1" t="s">
        <v>11</v>
      </c>
      <c r="F1505" s="1" t="s">
        <v>12</v>
      </c>
      <c r="G1505" s="1" t="s">
        <v>32</v>
      </c>
      <c r="H1505">
        <v>399</v>
      </c>
      <c r="I1505">
        <v>5</v>
      </c>
      <c r="J1505">
        <v>1995</v>
      </c>
    </row>
    <row r="1506" spans="1:10" x14ac:dyDescent="0.25">
      <c r="A1506">
        <v>1505</v>
      </c>
      <c r="B1506" s="2">
        <v>43585</v>
      </c>
      <c r="C1506">
        <v>9</v>
      </c>
      <c r="D1506" s="1" t="s">
        <v>18</v>
      </c>
      <c r="E1506" s="1" t="s">
        <v>19</v>
      </c>
      <c r="F1506" s="1" t="s">
        <v>20</v>
      </c>
      <c r="G1506" s="1" t="s">
        <v>17</v>
      </c>
      <c r="H1506">
        <v>289</v>
      </c>
      <c r="I1506">
        <v>6</v>
      </c>
      <c r="J1506">
        <v>1734</v>
      </c>
    </row>
    <row r="1507" spans="1:10" x14ac:dyDescent="0.25">
      <c r="A1507">
        <v>1506</v>
      </c>
      <c r="B1507" s="2">
        <v>43585</v>
      </c>
      <c r="C1507">
        <v>20</v>
      </c>
      <c r="D1507" s="1" t="s">
        <v>31</v>
      </c>
      <c r="E1507" s="1" t="s">
        <v>23</v>
      </c>
      <c r="F1507" s="1" t="s">
        <v>24</v>
      </c>
      <c r="G1507" s="1" t="s">
        <v>26</v>
      </c>
      <c r="H1507">
        <v>69</v>
      </c>
      <c r="I1507">
        <v>4</v>
      </c>
      <c r="J1507">
        <v>276</v>
      </c>
    </row>
    <row r="1508" spans="1:10" x14ac:dyDescent="0.25">
      <c r="A1508">
        <v>1507</v>
      </c>
      <c r="B1508" s="2">
        <v>43586</v>
      </c>
      <c r="C1508">
        <v>1</v>
      </c>
      <c r="D1508" s="1" t="s">
        <v>14</v>
      </c>
      <c r="E1508" s="1" t="s">
        <v>43</v>
      </c>
      <c r="F1508" s="1" t="s">
        <v>16</v>
      </c>
      <c r="G1508" s="1" t="s">
        <v>17</v>
      </c>
      <c r="H1508">
        <v>289</v>
      </c>
      <c r="I1508">
        <v>6</v>
      </c>
      <c r="J1508">
        <v>1734</v>
      </c>
    </row>
    <row r="1509" spans="1:10" x14ac:dyDescent="0.25">
      <c r="A1509">
        <v>1508</v>
      </c>
      <c r="B1509" s="2">
        <v>43586</v>
      </c>
      <c r="C1509">
        <v>2</v>
      </c>
      <c r="D1509" s="1" t="s">
        <v>45</v>
      </c>
      <c r="E1509" s="1" t="s">
        <v>15</v>
      </c>
      <c r="F1509" s="1" t="s">
        <v>16</v>
      </c>
      <c r="G1509" s="1" t="s">
        <v>13</v>
      </c>
      <c r="H1509">
        <v>199</v>
      </c>
      <c r="I1509">
        <v>4</v>
      </c>
      <c r="J1509">
        <v>796</v>
      </c>
    </row>
    <row r="1510" spans="1:10" x14ac:dyDescent="0.25">
      <c r="A1510">
        <v>1509</v>
      </c>
      <c r="B1510" s="2">
        <v>43587</v>
      </c>
      <c r="C1510">
        <v>17</v>
      </c>
      <c r="D1510" s="1" t="s">
        <v>28</v>
      </c>
      <c r="E1510" s="1" t="s">
        <v>23</v>
      </c>
      <c r="F1510" s="1" t="s">
        <v>24</v>
      </c>
      <c r="G1510" s="1" t="s">
        <v>17</v>
      </c>
      <c r="H1510">
        <v>289</v>
      </c>
      <c r="I1510">
        <v>7</v>
      </c>
      <c r="J1510">
        <v>2023</v>
      </c>
    </row>
    <row r="1511" spans="1:10" x14ac:dyDescent="0.25">
      <c r="A1511">
        <v>1510</v>
      </c>
      <c r="B1511" s="2">
        <v>43587</v>
      </c>
      <c r="C1511">
        <v>1</v>
      </c>
      <c r="D1511" s="1" t="s">
        <v>14</v>
      </c>
      <c r="E1511" s="1" t="s">
        <v>15</v>
      </c>
      <c r="F1511" s="1" t="s">
        <v>16</v>
      </c>
      <c r="G1511" s="1" t="s">
        <v>26</v>
      </c>
      <c r="H1511">
        <v>69</v>
      </c>
      <c r="I1511">
        <v>9</v>
      </c>
      <c r="J1511">
        <v>621</v>
      </c>
    </row>
    <row r="1512" spans="1:10" x14ac:dyDescent="0.25">
      <c r="A1512">
        <v>1511</v>
      </c>
      <c r="B1512" s="2">
        <v>43588</v>
      </c>
      <c r="C1512">
        <v>16</v>
      </c>
      <c r="D1512" s="1" t="s">
        <v>25</v>
      </c>
      <c r="E1512" s="1" t="s">
        <v>29</v>
      </c>
      <c r="F1512" s="1" t="s">
        <v>24</v>
      </c>
      <c r="G1512" s="1" t="s">
        <v>32</v>
      </c>
      <c r="H1512">
        <v>399</v>
      </c>
      <c r="I1512">
        <v>3</v>
      </c>
      <c r="J1512">
        <v>1197</v>
      </c>
    </row>
    <row r="1513" spans="1:10" x14ac:dyDescent="0.25">
      <c r="A1513">
        <v>1512</v>
      </c>
      <c r="B1513" s="2">
        <v>43588</v>
      </c>
      <c r="C1513">
        <v>12</v>
      </c>
      <c r="D1513" s="1" t="s">
        <v>42</v>
      </c>
      <c r="E1513" s="1" t="s">
        <v>41</v>
      </c>
      <c r="F1513" s="1" t="s">
        <v>12</v>
      </c>
      <c r="G1513" s="1" t="s">
        <v>17</v>
      </c>
      <c r="H1513">
        <v>289</v>
      </c>
      <c r="I1513">
        <v>1</v>
      </c>
      <c r="J1513">
        <v>289</v>
      </c>
    </row>
    <row r="1514" spans="1:10" x14ac:dyDescent="0.25">
      <c r="A1514">
        <v>1513</v>
      </c>
      <c r="B1514" s="2">
        <v>43588</v>
      </c>
      <c r="C1514">
        <v>4</v>
      </c>
      <c r="D1514" s="1" t="s">
        <v>37</v>
      </c>
      <c r="E1514" s="1" t="s">
        <v>15</v>
      </c>
      <c r="F1514" s="1" t="s">
        <v>16</v>
      </c>
      <c r="G1514" s="1" t="s">
        <v>21</v>
      </c>
      <c r="H1514">
        <v>159</v>
      </c>
      <c r="I1514">
        <v>3</v>
      </c>
      <c r="J1514">
        <v>477</v>
      </c>
    </row>
    <row r="1515" spans="1:10" x14ac:dyDescent="0.25">
      <c r="A1515">
        <v>1514</v>
      </c>
      <c r="B1515" s="2">
        <v>43588</v>
      </c>
      <c r="C1515">
        <v>11</v>
      </c>
      <c r="D1515" s="1" t="s">
        <v>10</v>
      </c>
      <c r="E1515" s="1" t="s">
        <v>11</v>
      </c>
      <c r="F1515" s="1" t="s">
        <v>12</v>
      </c>
      <c r="G1515" s="1" t="s">
        <v>13</v>
      </c>
      <c r="H1515">
        <v>199</v>
      </c>
      <c r="I1515">
        <v>2</v>
      </c>
      <c r="J1515">
        <v>398</v>
      </c>
    </row>
    <row r="1516" spans="1:10" x14ac:dyDescent="0.25">
      <c r="A1516">
        <v>1515</v>
      </c>
      <c r="B1516" s="2">
        <v>43588</v>
      </c>
      <c r="C1516">
        <v>18</v>
      </c>
      <c r="D1516" s="1" t="s">
        <v>22</v>
      </c>
      <c r="E1516" s="1" t="s">
        <v>23</v>
      </c>
      <c r="F1516" s="1" t="s">
        <v>24</v>
      </c>
      <c r="G1516" s="1" t="s">
        <v>32</v>
      </c>
      <c r="H1516">
        <v>399</v>
      </c>
      <c r="I1516">
        <v>6</v>
      </c>
      <c r="J1516">
        <v>2394</v>
      </c>
    </row>
    <row r="1517" spans="1:10" x14ac:dyDescent="0.25">
      <c r="A1517">
        <v>1516</v>
      </c>
      <c r="B1517" s="2">
        <v>43588</v>
      </c>
      <c r="C1517">
        <v>1</v>
      </c>
      <c r="D1517" s="1" t="s">
        <v>14</v>
      </c>
      <c r="E1517" s="1" t="s">
        <v>15</v>
      </c>
      <c r="F1517" s="1" t="s">
        <v>16</v>
      </c>
      <c r="G1517" s="1" t="s">
        <v>21</v>
      </c>
      <c r="H1517">
        <v>159</v>
      </c>
      <c r="I1517">
        <v>0</v>
      </c>
      <c r="J1517">
        <v>0</v>
      </c>
    </row>
    <row r="1518" spans="1:10" x14ac:dyDescent="0.25">
      <c r="A1518">
        <v>1517</v>
      </c>
      <c r="B1518" s="2">
        <v>43588</v>
      </c>
      <c r="C1518">
        <v>17</v>
      </c>
      <c r="D1518" s="1" t="s">
        <v>28</v>
      </c>
      <c r="E1518" s="1" t="s">
        <v>29</v>
      </c>
      <c r="F1518" s="1" t="s">
        <v>24</v>
      </c>
      <c r="G1518" s="1" t="s">
        <v>26</v>
      </c>
      <c r="H1518">
        <v>69</v>
      </c>
      <c r="I1518">
        <v>5</v>
      </c>
      <c r="J1518">
        <v>345</v>
      </c>
    </row>
    <row r="1519" spans="1:10" x14ac:dyDescent="0.25">
      <c r="A1519">
        <v>1518</v>
      </c>
      <c r="B1519" s="2">
        <v>43588</v>
      </c>
      <c r="C1519">
        <v>3</v>
      </c>
      <c r="D1519" s="1" t="s">
        <v>33</v>
      </c>
      <c r="E1519" s="1" t="s">
        <v>15</v>
      </c>
      <c r="F1519" s="1" t="s">
        <v>16</v>
      </c>
      <c r="G1519" s="1" t="s">
        <v>26</v>
      </c>
      <c r="H1519">
        <v>69</v>
      </c>
      <c r="I1519">
        <v>8</v>
      </c>
      <c r="J1519">
        <v>552</v>
      </c>
    </row>
    <row r="1520" spans="1:10" x14ac:dyDescent="0.25">
      <c r="A1520">
        <v>1519</v>
      </c>
      <c r="B1520" s="2">
        <v>43589</v>
      </c>
      <c r="C1520">
        <v>14</v>
      </c>
      <c r="D1520" s="1" t="s">
        <v>30</v>
      </c>
      <c r="E1520" s="1" t="s">
        <v>41</v>
      </c>
      <c r="F1520" s="1" t="s">
        <v>12</v>
      </c>
      <c r="G1520" s="1" t="s">
        <v>26</v>
      </c>
      <c r="H1520">
        <v>69</v>
      </c>
      <c r="I1520">
        <v>9</v>
      </c>
      <c r="J1520">
        <v>621</v>
      </c>
    </row>
    <row r="1521" spans="1:10" x14ac:dyDescent="0.25">
      <c r="A1521">
        <v>1520</v>
      </c>
      <c r="B1521" s="2">
        <v>43590</v>
      </c>
      <c r="C1521">
        <v>12</v>
      </c>
      <c r="D1521" s="1" t="s">
        <v>42</v>
      </c>
      <c r="E1521" s="1" t="s">
        <v>41</v>
      </c>
      <c r="F1521" s="1" t="s">
        <v>12</v>
      </c>
      <c r="G1521" s="1" t="s">
        <v>21</v>
      </c>
      <c r="H1521">
        <v>159</v>
      </c>
      <c r="I1521">
        <v>4</v>
      </c>
      <c r="J1521">
        <v>636</v>
      </c>
    </row>
    <row r="1522" spans="1:10" x14ac:dyDescent="0.25">
      <c r="A1522">
        <v>1521</v>
      </c>
      <c r="B1522" s="2">
        <v>43590</v>
      </c>
      <c r="C1522">
        <v>19</v>
      </c>
      <c r="D1522" s="1" t="s">
        <v>38</v>
      </c>
      <c r="E1522" s="1" t="s">
        <v>23</v>
      </c>
      <c r="F1522" s="1" t="s">
        <v>24</v>
      </c>
      <c r="G1522" s="1" t="s">
        <v>32</v>
      </c>
      <c r="H1522">
        <v>399</v>
      </c>
      <c r="I1522">
        <v>5</v>
      </c>
      <c r="J1522">
        <v>1995</v>
      </c>
    </row>
    <row r="1523" spans="1:10" x14ac:dyDescent="0.25">
      <c r="A1523">
        <v>1522</v>
      </c>
      <c r="B1523" s="2">
        <v>43591</v>
      </c>
      <c r="C1523">
        <v>15</v>
      </c>
      <c r="D1523" s="1" t="s">
        <v>46</v>
      </c>
      <c r="E1523" s="1" t="s">
        <v>41</v>
      </c>
      <c r="F1523" s="1" t="s">
        <v>12</v>
      </c>
      <c r="G1523" s="1" t="s">
        <v>26</v>
      </c>
      <c r="H1523">
        <v>69</v>
      </c>
      <c r="I1523">
        <v>9</v>
      </c>
      <c r="J1523">
        <v>621</v>
      </c>
    </row>
    <row r="1524" spans="1:10" x14ac:dyDescent="0.25">
      <c r="A1524">
        <v>1523</v>
      </c>
      <c r="B1524" s="2">
        <v>43592</v>
      </c>
      <c r="C1524">
        <v>11</v>
      </c>
      <c r="D1524" s="1" t="s">
        <v>10</v>
      </c>
      <c r="E1524" s="1" t="s">
        <v>11</v>
      </c>
      <c r="F1524" s="1" t="s">
        <v>12</v>
      </c>
      <c r="G1524" s="1" t="s">
        <v>21</v>
      </c>
      <c r="H1524">
        <v>159</v>
      </c>
      <c r="I1524">
        <v>3</v>
      </c>
      <c r="J1524">
        <v>477</v>
      </c>
    </row>
    <row r="1525" spans="1:10" x14ac:dyDescent="0.25">
      <c r="A1525">
        <v>1524</v>
      </c>
      <c r="B1525" s="2">
        <v>43592</v>
      </c>
      <c r="C1525">
        <v>14</v>
      </c>
      <c r="D1525" s="1" t="s">
        <v>30</v>
      </c>
      <c r="E1525" s="1" t="s">
        <v>41</v>
      </c>
      <c r="F1525" s="1" t="s">
        <v>12</v>
      </c>
      <c r="G1525" s="1" t="s">
        <v>21</v>
      </c>
      <c r="H1525">
        <v>159</v>
      </c>
      <c r="I1525">
        <v>1</v>
      </c>
      <c r="J1525">
        <v>159</v>
      </c>
    </row>
    <row r="1526" spans="1:10" x14ac:dyDescent="0.25">
      <c r="A1526">
        <v>1525</v>
      </c>
      <c r="B1526" s="2">
        <v>43592</v>
      </c>
      <c r="C1526">
        <v>3</v>
      </c>
      <c r="D1526" s="1" t="s">
        <v>33</v>
      </c>
      <c r="E1526" s="1" t="s">
        <v>43</v>
      </c>
      <c r="F1526" s="1" t="s">
        <v>16</v>
      </c>
      <c r="G1526" s="1" t="s">
        <v>26</v>
      </c>
      <c r="H1526">
        <v>69</v>
      </c>
      <c r="I1526">
        <v>6</v>
      </c>
      <c r="J1526">
        <v>414</v>
      </c>
    </row>
    <row r="1527" spans="1:10" x14ac:dyDescent="0.25">
      <c r="A1527">
        <v>1526</v>
      </c>
      <c r="B1527" s="2">
        <v>43592</v>
      </c>
      <c r="C1527">
        <v>4</v>
      </c>
      <c r="D1527" s="1" t="s">
        <v>37</v>
      </c>
      <c r="E1527" s="1" t="s">
        <v>43</v>
      </c>
      <c r="F1527" s="1" t="s">
        <v>16</v>
      </c>
      <c r="G1527" s="1" t="s">
        <v>17</v>
      </c>
      <c r="H1527">
        <v>289</v>
      </c>
      <c r="I1527">
        <v>5</v>
      </c>
      <c r="J1527">
        <v>1445</v>
      </c>
    </row>
    <row r="1528" spans="1:10" x14ac:dyDescent="0.25">
      <c r="A1528">
        <v>1527</v>
      </c>
      <c r="B1528" s="2">
        <v>43592</v>
      </c>
      <c r="C1528">
        <v>16</v>
      </c>
      <c r="D1528" s="1" t="s">
        <v>25</v>
      </c>
      <c r="E1528" s="1" t="s">
        <v>23</v>
      </c>
      <c r="F1528" s="1" t="s">
        <v>24</v>
      </c>
      <c r="G1528" s="1" t="s">
        <v>21</v>
      </c>
      <c r="H1528">
        <v>159</v>
      </c>
      <c r="I1528">
        <v>7</v>
      </c>
      <c r="J1528">
        <v>1113</v>
      </c>
    </row>
    <row r="1529" spans="1:10" x14ac:dyDescent="0.25">
      <c r="A1529">
        <v>1528</v>
      </c>
      <c r="B1529" s="2">
        <v>43592</v>
      </c>
      <c r="C1529">
        <v>13</v>
      </c>
      <c r="D1529" s="1" t="s">
        <v>27</v>
      </c>
      <c r="E1529" s="1" t="s">
        <v>41</v>
      </c>
      <c r="F1529" s="1" t="s">
        <v>12</v>
      </c>
      <c r="G1529" s="1" t="s">
        <v>21</v>
      </c>
      <c r="H1529">
        <v>159</v>
      </c>
      <c r="I1529">
        <v>3</v>
      </c>
      <c r="J1529">
        <v>477</v>
      </c>
    </row>
    <row r="1530" spans="1:10" x14ac:dyDescent="0.25">
      <c r="A1530">
        <v>1529</v>
      </c>
      <c r="B1530" s="2">
        <v>43592</v>
      </c>
      <c r="C1530">
        <v>18</v>
      </c>
      <c r="D1530" s="1" t="s">
        <v>22</v>
      </c>
      <c r="E1530" s="1" t="s">
        <v>29</v>
      </c>
      <c r="F1530" s="1" t="s">
        <v>24</v>
      </c>
      <c r="G1530" s="1" t="s">
        <v>13</v>
      </c>
      <c r="H1530">
        <v>199</v>
      </c>
      <c r="I1530">
        <v>1</v>
      </c>
      <c r="J1530">
        <v>199</v>
      </c>
    </row>
    <row r="1531" spans="1:10" x14ac:dyDescent="0.25">
      <c r="A1531">
        <v>1530</v>
      </c>
      <c r="B1531" s="2">
        <v>43592</v>
      </c>
      <c r="C1531">
        <v>15</v>
      </c>
      <c r="D1531" s="1" t="s">
        <v>46</v>
      </c>
      <c r="E1531" s="1" t="s">
        <v>11</v>
      </c>
      <c r="F1531" s="1" t="s">
        <v>12</v>
      </c>
      <c r="G1531" s="1" t="s">
        <v>32</v>
      </c>
      <c r="H1531">
        <v>399</v>
      </c>
      <c r="I1531">
        <v>0</v>
      </c>
      <c r="J1531">
        <v>0</v>
      </c>
    </row>
    <row r="1532" spans="1:10" x14ac:dyDescent="0.25">
      <c r="A1532">
        <v>1531</v>
      </c>
      <c r="B1532" s="2">
        <v>43593</v>
      </c>
      <c r="C1532">
        <v>4</v>
      </c>
      <c r="D1532" s="1" t="s">
        <v>37</v>
      </c>
      <c r="E1532" s="1" t="s">
        <v>15</v>
      </c>
      <c r="F1532" s="1" t="s">
        <v>16</v>
      </c>
      <c r="G1532" s="1" t="s">
        <v>13</v>
      </c>
      <c r="H1532">
        <v>199</v>
      </c>
      <c r="I1532">
        <v>7</v>
      </c>
      <c r="J1532">
        <v>1393</v>
      </c>
    </row>
    <row r="1533" spans="1:10" x14ac:dyDescent="0.25">
      <c r="A1533">
        <v>1532</v>
      </c>
      <c r="B1533" s="2">
        <v>43594</v>
      </c>
      <c r="C1533">
        <v>11</v>
      </c>
      <c r="D1533" s="1" t="s">
        <v>10</v>
      </c>
      <c r="E1533" s="1" t="s">
        <v>41</v>
      </c>
      <c r="F1533" s="1" t="s">
        <v>12</v>
      </c>
      <c r="G1533" s="1" t="s">
        <v>17</v>
      </c>
      <c r="H1533">
        <v>289</v>
      </c>
      <c r="I1533">
        <v>1</v>
      </c>
      <c r="J1533">
        <v>289</v>
      </c>
    </row>
    <row r="1534" spans="1:10" x14ac:dyDescent="0.25">
      <c r="A1534">
        <v>1533</v>
      </c>
      <c r="B1534" s="2">
        <v>43594</v>
      </c>
      <c r="C1534">
        <v>18</v>
      </c>
      <c r="D1534" s="1" t="s">
        <v>22</v>
      </c>
      <c r="E1534" s="1" t="s">
        <v>29</v>
      </c>
      <c r="F1534" s="1" t="s">
        <v>24</v>
      </c>
      <c r="G1534" s="1" t="s">
        <v>26</v>
      </c>
      <c r="H1534">
        <v>69</v>
      </c>
      <c r="I1534">
        <v>4</v>
      </c>
      <c r="J1534">
        <v>276</v>
      </c>
    </row>
    <row r="1535" spans="1:10" x14ac:dyDescent="0.25">
      <c r="A1535">
        <v>1534</v>
      </c>
      <c r="B1535" s="2">
        <v>43594</v>
      </c>
      <c r="C1535">
        <v>1</v>
      </c>
      <c r="D1535" s="1" t="s">
        <v>14</v>
      </c>
      <c r="E1535" s="1" t="s">
        <v>15</v>
      </c>
      <c r="F1535" s="1" t="s">
        <v>16</v>
      </c>
      <c r="G1535" s="1" t="s">
        <v>26</v>
      </c>
      <c r="H1535">
        <v>69</v>
      </c>
      <c r="I1535">
        <v>1</v>
      </c>
      <c r="J1535">
        <v>69</v>
      </c>
    </row>
    <row r="1536" spans="1:10" x14ac:dyDescent="0.25">
      <c r="A1536">
        <v>1535</v>
      </c>
      <c r="B1536" s="2">
        <v>43594</v>
      </c>
      <c r="C1536">
        <v>7</v>
      </c>
      <c r="D1536" s="1" t="s">
        <v>44</v>
      </c>
      <c r="E1536" s="1" t="s">
        <v>19</v>
      </c>
      <c r="F1536" s="1" t="s">
        <v>20</v>
      </c>
      <c r="G1536" s="1" t="s">
        <v>26</v>
      </c>
      <c r="H1536">
        <v>69</v>
      </c>
      <c r="I1536">
        <v>5</v>
      </c>
      <c r="J1536">
        <v>345</v>
      </c>
    </row>
    <row r="1537" spans="1:10" x14ac:dyDescent="0.25">
      <c r="A1537">
        <v>1536</v>
      </c>
      <c r="B1537" s="2">
        <v>43595</v>
      </c>
      <c r="C1537">
        <v>19</v>
      </c>
      <c r="D1537" s="1" t="s">
        <v>38</v>
      </c>
      <c r="E1537" s="1" t="s">
        <v>23</v>
      </c>
      <c r="F1537" s="1" t="s">
        <v>24</v>
      </c>
      <c r="G1537" s="1" t="s">
        <v>21</v>
      </c>
      <c r="H1537">
        <v>159</v>
      </c>
      <c r="I1537">
        <v>3</v>
      </c>
      <c r="J1537">
        <v>477</v>
      </c>
    </row>
    <row r="1538" spans="1:10" x14ac:dyDescent="0.25">
      <c r="A1538">
        <v>1537</v>
      </c>
      <c r="B1538" s="2">
        <v>43595</v>
      </c>
      <c r="C1538">
        <v>17</v>
      </c>
      <c r="D1538" s="1" t="s">
        <v>28</v>
      </c>
      <c r="E1538" s="1" t="s">
        <v>23</v>
      </c>
      <c r="F1538" s="1" t="s">
        <v>24</v>
      </c>
      <c r="G1538" s="1" t="s">
        <v>32</v>
      </c>
      <c r="H1538">
        <v>399</v>
      </c>
      <c r="I1538">
        <v>1</v>
      </c>
      <c r="J1538">
        <v>399</v>
      </c>
    </row>
    <row r="1539" spans="1:10" x14ac:dyDescent="0.25">
      <c r="A1539">
        <v>1538</v>
      </c>
      <c r="B1539" s="2">
        <v>43595</v>
      </c>
      <c r="C1539">
        <v>3</v>
      </c>
      <c r="D1539" s="1" t="s">
        <v>33</v>
      </c>
      <c r="E1539" s="1" t="s">
        <v>43</v>
      </c>
      <c r="F1539" s="1" t="s">
        <v>16</v>
      </c>
      <c r="G1539" s="1" t="s">
        <v>26</v>
      </c>
      <c r="H1539">
        <v>69</v>
      </c>
      <c r="I1539">
        <v>6</v>
      </c>
      <c r="J1539">
        <v>414</v>
      </c>
    </row>
    <row r="1540" spans="1:10" x14ac:dyDescent="0.25">
      <c r="A1540">
        <v>1539</v>
      </c>
      <c r="B1540" s="2">
        <v>43596</v>
      </c>
      <c r="C1540">
        <v>15</v>
      </c>
      <c r="D1540" s="1" t="s">
        <v>46</v>
      </c>
      <c r="E1540" s="1" t="s">
        <v>41</v>
      </c>
      <c r="F1540" s="1" t="s">
        <v>12</v>
      </c>
      <c r="G1540" s="1" t="s">
        <v>13</v>
      </c>
      <c r="H1540">
        <v>199</v>
      </c>
      <c r="I1540">
        <v>7</v>
      </c>
      <c r="J1540">
        <v>1393</v>
      </c>
    </row>
    <row r="1541" spans="1:10" x14ac:dyDescent="0.25">
      <c r="A1541">
        <v>1540</v>
      </c>
      <c r="B1541" s="2">
        <v>43597</v>
      </c>
      <c r="C1541">
        <v>9</v>
      </c>
      <c r="D1541" s="1" t="s">
        <v>18</v>
      </c>
      <c r="E1541" s="1" t="s">
        <v>35</v>
      </c>
      <c r="F1541" s="1" t="s">
        <v>20</v>
      </c>
      <c r="G1541" s="1" t="s">
        <v>21</v>
      </c>
      <c r="H1541">
        <v>159</v>
      </c>
      <c r="I1541">
        <v>6</v>
      </c>
      <c r="J1541">
        <v>954</v>
      </c>
    </row>
    <row r="1542" spans="1:10" x14ac:dyDescent="0.25">
      <c r="A1542">
        <v>1541</v>
      </c>
      <c r="B1542" s="2">
        <v>43597</v>
      </c>
      <c r="C1542">
        <v>3</v>
      </c>
      <c r="D1542" s="1" t="s">
        <v>33</v>
      </c>
      <c r="E1542" s="1" t="s">
        <v>15</v>
      </c>
      <c r="F1542" s="1" t="s">
        <v>16</v>
      </c>
      <c r="G1542" s="1" t="s">
        <v>17</v>
      </c>
      <c r="H1542">
        <v>289</v>
      </c>
      <c r="I1542">
        <v>9</v>
      </c>
      <c r="J1542">
        <v>2601</v>
      </c>
    </row>
    <row r="1543" spans="1:10" x14ac:dyDescent="0.25">
      <c r="A1543">
        <v>1542</v>
      </c>
      <c r="B1543" s="2">
        <v>43598</v>
      </c>
      <c r="C1543">
        <v>5</v>
      </c>
      <c r="D1543" s="1" t="s">
        <v>40</v>
      </c>
      <c r="E1543" s="1" t="s">
        <v>43</v>
      </c>
      <c r="F1543" s="1" t="s">
        <v>16</v>
      </c>
      <c r="G1543" s="1" t="s">
        <v>13</v>
      </c>
      <c r="H1543">
        <v>199</v>
      </c>
      <c r="I1543">
        <v>6</v>
      </c>
      <c r="J1543">
        <v>1194</v>
      </c>
    </row>
    <row r="1544" spans="1:10" x14ac:dyDescent="0.25">
      <c r="A1544">
        <v>1543</v>
      </c>
      <c r="B1544" s="2">
        <v>43598</v>
      </c>
      <c r="C1544">
        <v>11</v>
      </c>
      <c r="D1544" s="1" t="s">
        <v>10</v>
      </c>
      <c r="E1544" s="1" t="s">
        <v>41</v>
      </c>
      <c r="F1544" s="1" t="s">
        <v>12</v>
      </c>
      <c r="G1544" s="1" t="s">
        <v>32</v>
      </c>
      <c r="H1544">
        <v>399</v>
      </c>
      <c r="I1544">
        <v>2</v>
      </c>
      <c r="J1544">
        <v>798</v>
      </c>
    </row>
    <row r="1545" spans="1:10" x14ac:dyDescent="0.25">
      <c r="A1545">
        <v>1544</v>
      </c>
      <c r="B1545" s="2">
        <v>43598</v>
      </c>
      <c r="C1545">
        <v>19</v>
      </c>
      <c r="D1545" s="1" t="s">
        <v>38</v>
      </c>
      <c r="E1545" s="1" t="s">
        <v>29</v>
      </c>
      <c r="F1545" s="1" t="s">
        <v>24</v>
      </c>
      <c r="G1545" s="1" t="s">
        <v>13</v>
      </c>
      <c r="H1545">
        <v>199</v>
      </c>
      <c r="I1545">
        <v>5</v>
      </c>
      <c r="J1545">
        <v>995</v>
      </c>
    </row>
    <row r="1546" spans="1:10" x14ac:dyDescent="0.25">
      <c r="A1546">
        <v>1545</v>
      </c>
      <c r="B1546" s="2">
        <v>43599</v>
      </c>
      <c r="C1546">
        <v>11</v>
      </c>
      <c r="D1546" s="1" t="s">
        <v>10</v>
      </c>
      <c r="E1546" s="1" t="s">
        <v>11</v>
      </c>
      <c r="F1546" s="1" t="s">
        <v>12</v>
      </c>
      <c r="G1546" s="1" t="s">
        <v>32</v>
      </c>
      <c r="H1546">
        <v>399</v>
      </c>
      <c r="I1546">
        <v>6</v>
      </c>
      <c r="J1546">
        <v>2394</v>
      </c>
    </row>
    <row r="1547" spans="1:10" x14ac:dyDescent="0.25">
      <c r="A1547">
        <v>1546</v>
      </c>
      <c r="B1547" s="2">
        <v>43600</v>
      </c>
      <c r="C1547">
        <v>15</v>
      </c>
      <c r="D1547" s="1" t="s">
        <v>46</v>
      </c>
      <c r="E1547" s="1" t="s">
        <v>41</v>
      </c>
      <c r="F1547" s="1" t="s">
        <v>12</v>
      </c>
      <c r="G1547" s="1" t="s">
        <v>13</v>
      </c>
      <c r="H1547">
        <v>199</v>
      </c>
      <c r="I1547">
        <v>7</v>
      </c>
      <c r="J1547">
        <v>1393</v>
      </c>
    </row>
    <row r="1548" spans="1:10" x14ac:dyDescent="0.25">
      <c r="A1548">
        <v>1547</v>
      </c>
      <c r="B1548" s="2">
        <v>43600</v>
      </c>
      <c r="C1548">
        <v>6</v>
      </c>
      <c r="D1548" s="1" t="s">
        <v>36</v>
      </c>
      <c r="E1548" s="1" t="s">
        <v>19</v>
      </c>
      <c r="F1548" s="1" t="s">
        <v>20</v>
      </c>
      <c r="G1548" s="1" t="s">
        <v>21</v>
      </c>
      <c r="H1548">
        <v>159</v>
      </c>
      <c r="I1548">
        <v>5</v>
      </c>
      <c r="J1548">
        <v>795</v>
      </c>
    </row>
    <row r="1549" spans="1:10" x14ac:dyDescent="0.25">
      <c r="A1549">
        <v>1548</v>
      </c>
      <c r="B1549" s="2">
        <v>43600</v>
      </c>
      <c r="C1549">
        <v>14</v>
      </c>
      <c r="D1549" s="1" t="s">
        <v>30</v>
      </c>
      <c r="E1549" s="1" t="s">
        <v>11</v>
      </c>
      <c r="F1549" s="1" t="s">
        <v>12</v>
      </c>
      <c r="G1549" s="1" t="s">
        <v>21</v>
      </c>
      <c r="H1549">
        <v>159</v>
      </c>
      <c r="I1549">
        <v>8</v>
      </c>
      <c r="J1549">
        <v>1272</v>
      </c>
    </row>
    <row r="1550" spans="1:10" x14ac:dyDescent="0.25">
      <c r="A1550">
        <v>1549</v>
      </c>
      <c r="B1550" s="2">
        <v>43601</v>
      </c>
      <c r="C1550">
        <v>3</v>
      </c>
      <c r="D1550" s="1" t="s">
        <v>33</v>
      </c>
      <c r="E1550" s="1" t="s">
        <v>15</v>
      </c>
      <c r="F1550" s="1" t="s">
        <v>16</v>
      </c>
      <c r="G1550" s="1" t="s">
        <v>17</v>
      </c>
      <c r="H1550">
        <v>289</v>
      </c>
      <c r="I1550">
        <v>4</v>
      </c>
      <c r="J1550">
        <v>1156</v>
      </c>
    </row>
    <row r="1551" spans="1:10" x14ac:dyDescent="0.25">
      <c r="A1551">
        <v>1550</v>
      </c>
      <c r="B1551" s="2">
        <v>43602</v>
      </c>
      <c r="C1551">
        <v>15</v>
      </c>
      <c r="D1551" s="1" t="s">
        <v>46</v>
      </c>
      <c r="E1551" s="1" t="s">
        <v>11</v>
      </c>
      <c r="F1551" s="1" t="s">
        <v>12</v>
      </c>
      <c r="G1551" s="1" t="s">
        <v>13</v>
      </c>
      <c r="H1551">
        <v>199</v>
      </c>
      <c r="I1551">
        <v>3</v>
      </c>
      <c r="J1551">
        <v>597</v>
      </c>
    </row>
    <row r="1552" spans="1:10" x14ac:dyDescent="0.25">
      <c r="A1552">
        <v>1551</v>
      </c>
      <c r="B1552" s="2">
        <v>43602</v>
      </c>
      <c r="C1552">
        <v>1</v>
      </c>
      <c r="D1552" s="1" t="s">
        <v>14</v>
      </c>
      <c r="E1552" s="1" t="s">
        <v>43</v>
      </c>
      <c r="F1552" s="1" t="s">
        <v>16</v>
      </c>
      <c r="G1552" s="1" t="s">
        <v>32</v>
      </c>
      <c r="H1552">
        <v>399</v>
      </c>
      <c r="I1552">
        <v>7</v>
      </c>
      <c r="J1552">
        <v>2793</v>
      </c>
    </row>
    <row r="1553" spans="1:10" x14ac:dyDescent="0.25">
      <c r="A1553">
        <v>1552</v>
      </c>
      <c r="B1553" s="2">
        <v>43602</v>
      </c>
      <c r="C1553">
        <v>1</v>
      </c>
      <c r="D1553" s="1" t="s">
        <v>14</v>
      </c>
      <c r="E1553" s="1" t="s">
        <v>15</v>
      </c>
      <c r="F1553" s="1" t="s">
        <v>16</v>
      </c>
      <c r="G1553" s="1" t="s">
        <v>17</v>
      </c>
      <c r="H1553">
        <v>289</v>
      </c>
      <c r="I1553">
        <v>9</v>
      </c>
      <c r="J1553">
        <v>2601</v>
      </c>
    </row>
    <row r="1554" spans="1:10" x14ac:dyDescent="0.25">
      <c r="A1554">
        <v>1553</v>
      </c>
      <c r="B1554" s="2">
        <v>43602</v>
      </c>
      <c r="C1554">
        <v>10</v>
      </c>
      <c r="D1554" s="1" t="s">
        <v>39</v>
      </c>
      <c r="E1554" s="1" t="s">
        <v>35</v>
      </c>
      <c r="F1554" s="1" t="s">
        <v>20</v>
      </c>
      <c r="G1554" s="1" t="s">
        <v>17</v>
      </c>
      <c r="H1554">
        <v>289</v>
      </c>
      <c r="I1554">
        <v>2</v>
      </c>
      <c r="J1554">
        <v>578</v>
      </c>
    </row>
    <row r="1555" spans="1:10" x14ac:dyDescent="0.25">
      <c r="A1555">
        <v>1554</v>
      </c>
      <c r="B1555" s="2">
        <v>43602</v>
      </c>
      <c r="C1555">
        <v>13</v>
      </c>
      <c r="D1555" s="1" t="s">
        <v>27</v>
      </c>
      <c r="E1555" s="1" t="s">
        <v>41</v>
      </c>
      <c r="F1555" s="1" t="s">
        <v>12</v>
      </c>
      <c r="G1555" s="1" t="s">
        <v>26</v>
      </c>
      <c r="H1555">
        <v>69</v>
      </c>
      <c r="I1555">
        <v>0</v>
      </c>
      <c r="J1555">
        <v>0</v>
      </c>
    </row>
    <row r="1556" spans="1:10" x14ac:dyDescent="0.25">
      <c r="A1556">
        <v>1555</v>
      </c>
      <c r="B1556" s="2">
        <v>43602</v>
      </c>
      <c r="C1556">
        <v>14</v>
      </c>
      <c r="D1556" s="1" t="s">
        <v>30</v>
      </c>
      <c r="E1556" s="1" t="s">
        <v>11</v>
      </c>
      <c r="F1556" s="1" t="s">
        <v>12</v>
      </c>
      <c r="G1556" s="1" t="s">
        <v>17</v>
      </c>
      <c r="H1556">
        <v>289</v>
      </c>
      <c r="I1556">
        <v>6</v>
      </c>
      <c r="J1556">
        <v>1734</v>
      </c>
    </row>
    <row r="1557" spans="1:10" x14ac:dyDescent="0.25">
      <c r="A1557">
        <v>1556</v>
      </c>
      <c r="B1557" s="2">
        <v>43602</v>
      </c>
      <c r="C1557">
        <v>17</v>
      </c>
      <c r="D1557" s="1" t="s">
        <v>28</v>
      </c>
      <c r="E1557" s="1" t="s">
        <v>23</v>
      </c>
      <c r="F1557" s="1" t="s">
        <v>24</v>
      </c>
      <c r="G1557" s="1" t="s">
        <v>13</v>
      </c>
      <c r="H1557">
        <v>199</v>
      </c>
      <c r="I1557">
        <v>2</v>
      </c>
      <c r="J1557">
        <v>398</v>
      </c>
    </row>
    <row r="1558" spans="1:10" x14ac:dyDescent="0.25">
      <c r="A1558">
        <v>1557</v>
      </c>
      <c r="B1558" s="2">
        <v>43602</v>
      </c>
      <c r="C1558">
        <v>1</v>
      </c>
      <c r="D1558" s="1" t="s">
        <v>14</v>
      </c>
      <c r="E1558" s="1" t="s">
        <v>43</v>
      </c>
      <c r="F1558" s="1" t="s">
        <v>16</v>
      </c>
      <c r="G1558" s="1" t="s">
        <v>26</v>
      </c>
      <c r="H1558">
        <v>69</v>
      </c>
      <c r="I1558">
        <v>7</v>
      </c>
      <c r="J1558">
        <v>483</v>
      </c>
    </row>
    <row r="1559" spans="1:10" x14ac:dyDescent="0.25">
      <c r="A1559">
        <v>1558</v>
      </c>
      <c r="B1559" s="2">
        <v>43603</v>
      </c>
      <c r="C1559">
        <v>2</v>
      </c>
      <c r="D1559" s="1" t="s">
        <v>45</v>
      </c>
      <c r="E1559" s="1" t="s">
        <v>43</v>
      </c>
      <c r="F1559" s="1" t="s">
        <v>16</v>
      </c>
      <c r="G1559" s="1" t="s">
        <v>32</v>
      </c>
      <c r="H1559">
        <v>399</v>
      </c>
      <c r="I1559">
        <v>4</v>
      </c>
      <c r="J1559">
        <v>1596</v>
      </c>
    </row>
    <row r="1560" spans="1:10" x14ac:dyDescent="0.25">
      <c r="A1560">
        <v>1559</v>
      </c>
      <c r="B1560" s="2">
        <v>43604</v>
      </c>
      <c r="C1560">
        <v>10</v>
      </c>
      <c r="D1560" s="1" t="s">
        <v>39</v>
      </c>
      <c r="E1560" s="1" t="s">
        <v>19</v>
      </c>
      <c r="F1560" s="1" t="s">
        <v>20</v>
      </c>
      <c r="G1560" s="1" t="s">
        <v>32</v>
      </c>
      <c r="H1560">
        <v>399</v>
      </c>
      <c r="I1560">
        <v>1</v>
      </c>
      <c r="J1560">
        <v>399</v>
      </c>
    </row>
    <row r="1561" spans="1:10" x14ac:dyDescent="0.25">
      <c r="A1561">
        <v>1560</v>
      </c>
      <c r="B1561" s="2">
        <v>43604</v>
      </c>
      <c r="C1561">
        <v>20</v>
      </c>
      <c r="D1561" s="1" t="s">
        <v>31</v>
      </c>
      <c r="E1561" s="1" t="s">
        <v>23</v>
      </c>
      <c r="F1561" s="1" t="s">
        <v>24</v>
      </c>
      <c r="G1561" s="1" t="s">
        <v>13</v>
      </c>
      <c r="H1561">
        <v>199</v>
      </c>
      <c r="I1561">
        <v>2</v>
      </c>
      <c r="J1561">
        <v>398</v>
      </c>
    </row>
    <row r="1562" spans="1:10" x14ac:dyDescent="0.25">
      <c r="A1562">
        <v>1561</v>
      </c>
      <c r="B1562" s="2">
        <v>43604</v>
      </c>
      <c r="C1562">
        <v>1</v>
      </c>
      <c r="D1562" s="1" t="s">
        <v>14</v>
      </c>
      <c r="E1562" s="1" t="s">
        <v>15</v>
      </c>
      <c r="F1562" s="1" t="s">
        <v>16</v>
      </c>
      <c r="G1562" s="1" t="s">
        <v>17</v>
      </c>
      <c r="H1562">
        <v>289</v>
      </c>
      <c r="I1562">
        <v>1</v>
      </c>
      <c r="J1562">
        <v>289</v>
      </c>
    </row>
    <row r="1563" spans="1:10" x14ac:dyDescent="0.25">
      <c r="A1563">
        <v>1562</v>
      </c>
      <c r="B1563" s="2">
        <v>43605</v>
      </c>
      <c r="C1563">
        <v>1</v>
      </c>
      <c r="D1563" s="1" t="s">
        <v>14</v>
      </c>
      <c r="E1563" s="1" t="s">
        <v>15</v>
      </c>
      <c r="F1563" s="1" t="s">
        <v>16</v>
      </c>
      <c r="G1563" s="1" t="s">
        <v>21</v>
      </c>
      <c r="H1563">
        <v>159</v>
      </c>
      <c r="I1563">
        <v>4</v>
      </c>
      <c r="J1563">
        <v>636</v>
      </c>
    </row>
    <row r="1564" spans="1:10" x14ac:dyDescent="0.25">
      <c r="A1564">
        <v>1563</v>
      </c>
      <c r="B1564" s="2">
        <v>43605</v>
      </c>
      <c r="C1564">
        <v>19</v>
      </c>
      <c r="D1564" s="1" t="s">
        <v>38</v>
      </c>
      <c r="E1564" s="1" t="s">
        <v>29</v>
      </c>
      <c r="F1564" s="1" t="s">
        <v>24</v>
      </c>
      <c r="G1564" s="1" t="s">
        <v>32</v>
      </c>
      <c r="H1564">
        <v>399</v>
      </c>
      <c r="I1564">
        <v>8</v>
      </c>
      <c r="J1564">
        <v>3192</v>
      </c>
    </row>
    <row r="1565" spans="1:10" x14ac:dyDescent="0.25">
      <c r="A1565">
        <v>1564</v>
      </c>
      <c r="B1565" s="2">
        <v>43605</v>
      </c>
      <c r="C1565">
        <v>2</v>
      </c>
      <c r="D1565" s="1" t="s">
        <v>45</v>
      </c>
      <c r="E1565" s="1" t="s">
        <v>15</v>
      </c>
      <c r="F1565" s="1" t="s">
        <v>16</v>
      </c>
      <c r="G1565" s="1" t="s">
        <v>13</v>
      </c>
      <c r="H1565">
        <v>199</v>
      </c>
      <c r="I1565">
        <v>9</v>
      </c>
      <c r="J1565">
        <v>1791</v>
      </c>
    </row>
    <row r="1566" spans="1:10" x14ac:dyDescent="0.25">
      <c r="A1566">
        <v>1565</v>
      </c>
      <c r="B1566" s="2">
        <v>43605</v>
      </c>
      <c r="C1566">
        <v>7</v>
      </c>
      <c r="D1566" s="1" t="s">
        <v>44</v>
      </c>
      <c r="E1566" s="1" t="s">
        <v>19</v>
      </c>
      <c r="F1566" s="1" t="s">
        <v>20</v>
      </c>
      <c r="G1566" s="1" t="s">
        <v>17</v>
      </c>
      <c r="H1566">
        <v>289</v>
      </c>
      <c r="I1566">
        <v>8</v>
      </c>
      <c r="J1566">
        <v>2312</v>
      </c>
    </row>
    <row r="1567" spans="1:10" x14ac:dyDescent="0.25">
      <c r="A1567">
        <v>1566</v>
      </c>
      <c r="B1567" s="2">
        <v>43606</v>
      </c>
      <c r="C1567">
        <v>5</v>
      </c>
      <c r="D1567" s="1" t="s">
        <v>40</v>
      </c>
      <c r="E1567" s="1" t="s">
        <v>15</v>
      </c>
      <c r="F1567" s="1" t="s">
        <v>16</v>
      </c>
      <c r="G1567" s="1" t="s">
        <v>17</v>
      </c>
      <c r="H1567">
        <v>289</v>
      </c>
      <c r="I1567">
        <v>2</v>
      </c>
      <c r="J1567">
        <v>578</v>
      </c>
    </row>
    <row r="1568" spans="1:10" x14ac:dyDescent="0.25">
      <c r="A1568">
        <v>1567</v>
      </c>
      <c r="B1568" s="2">
        <v>43606</v>
      </c>
      <c r="C1568">
        <v>17</v>
      </c>
      <c r="D1568" s="1" t="s">
        <v>28</v>
      </c>
      <c r="E1568" s="1" t="s">
        <v>29</v>
      </c>
      <c r="F1568" s="1" t="s">
        <v>24</v>
      </c>
      <c r="G1568" s="1" t="s">
        <v>26</v>
      </c>
      <c r="H1568">
        <v>69</v>
      </c>
      <c r="I1568">
        <v>2</v>
      </c>
      <c r="J1568">
        <v>138</v>
      </c>
    </row>
    <row r="1569" spans="1:10" x14ac:dyDescent="0.25">
      <c r="A1569">
        <v>1568</v>
      </c>
      <c r="B1569" s="2">
        <v>43607</v>
      </c>
      <c r="C1569">
        <v>10</v>
      </c>
      <c r="D1569" s="1" t="s">
        <v>39</v>
      </c>
      <c r="E1569" s="1" t="s">
        <v>19</v>
      </c>
      <c r="F1569" s="1" t="s">
        <v>20</v>
      </c>
      <c r="G1569" s="1" t="s">
        <v>17</v>
      </c>
      <c r="H1569">
        <v>289</v>
      </c>
      <c r="I1569">
        <v>7</v>
      </c>
      <c r="J1569">
        <v>2023</v>
      </c>
    </row>
    <row r="1570" spans="1:10" x14ac:dyDescent="0.25">
      <c r="A1570">
        <v>1569</v>
      </c>
      <c r="B1570" s="2">
        <v>43607</v>
      </c>
      <c r="C1570">
        <v>8</v>
      </c>
      <c r="D1570" s="1" t="s">
        <v>34</v>
      </c>
      <c r="E1570" s="1" t="s">
        <v>35</v>
      </c>
      <c r="F1570" s="1" t="s">
        <v>20</v>
      </c>
      <c r="G1570" s="1" t="s">
        <v>26</v>
      </c>
      <c r="H1570">
        <v>69</v>
      </c>
      <c r="I1570">
        <v>2</v>
      </c>
      <c r="J1570">
        <v>138</v>
      </c>
    </row>
    <row r="1571" spans="1:10" x14ac:dyDescent="0.25">
      <c r="A1571">
        <v>1570</v>
      </c>
      <c r="B1571" s="2">
        <v>43607</v>
      </c>
      <c r="C1571">
        <v>14</v>
      </c>
      <c r="D1571" s="1" t="s">
        <v>30</v>
      </c>
      <c r="E1571" s="1" t="s">
        <v>11</v>
      </c>
      <c r="F1571" s="1" t="s">
        <v>12</v>
      </c>
      <c r="G1571" s="1" t="s">
        <v>26</v>
      </c>
      <c r="H1571">
        <v>69</v>
      </c>
      <c r="I1571">
        <v>9</v>
      </c>
      <c r="J1571">
        <v>621</v>
      </c>
    </row>
    <row r="1572" spans="1:10" x14ac:dyDescent="0.25">
      <c r="A1572">
        <v>1571</v>
      </c>
      <c r="B1572" s="2">
        <v>43608</v>
      </c>
      <c r="C1572">
        <v>15</v>
      </c>
      <c r="D1572" s="1" t="s">
        <v>46</v>
      </c>
      <c r="E1572" s="1" t="s">
        <v>41</v>
      </c>
      <c r="F1572" s="1" t="s">
        <v>12</v>
      </c>
      <c r="G1572" s="1" t="s">
        <v>21</v>
      </c>
      <c r="H1572">
        <v>159</v>
      </c>
      <c r="I1572">
        <v>2</v>
      </c>
      <c r="J1572">
        <v>318</v>
      </c>
    </row>
    <row r="1573" spans="1:10" x14ac:dyDescent="0.25">
      <c r="A1573">
        <v>1572</v>
      </c>
      <c r="B1573" s="2">
        <v>43609</v>
      </c>
      <c r="C1573">
        <v>14</v>
      </c>
      <c r="D1573" s="1" t="s">
        <v>30</v>
      </c>
      <c r="E1573" s="1" t="s">
        <v>41</v>
      </c>
      <c r="F1573" s="1" t="s">
        <v>12</v>
      </c>
      <c r="G1573" s="1" t="s">
        <v>32</v>
      </c>
      <c r="H1573">
        <v>399</v>
      </c>
      <c r="I1573">
        <v>4</v>
      </c>
      <c r="J1573">
        <v>1596</v>
      </c>
    </row>
    <row r="1574" spans="1:10" x14ac:dyDescent="0.25">
      <c r="A1574">
        <v>1573</v>
      </c>
      <c r="B1574" s="2">
        <v>43610</v>
      </c>
      <c r="C1574">
        <v>5</v>
      </c>
      <c r="D1574" s="1" t="s">
        <v>40</v>
      </c>
      <c r="E1574" s="1" t="s">
        <v>15</v>
      </c>
      <c r="F1574" s="1" t="s">
        <v>16</v>
      </c>
      <c r="G1574" s="1" t="s">
        <v>21</v>
      </c>
      <c r="H1574">
        <v>159</v>
      </c>
      <c r="I1574">
        <v>3</v>
      </c>
      <c r="J1574">
        <v>477</v>
      </c>
    </row>
    <row r="1575" spans="1:10" x14ac:dyDescent="0.25">
      <c r="A1575">
        <v>1574</v>
      </c>
      <c r="B1575" s="2">
        <v>43610</v>
      </c>
      <c r="C1575">
        <v>17</v>
      </c>
      <c r="D1575" s="1" t="s">
        <v>28</v>
      </c>
      <c r="E1575" s="1" t="s">
        <v>23</v>
      </c>
      <c r="F1575" s="1" t="s">
        <v>24</v>
      </c>
      <c r="G1575" s="1" t="s">
        <v>17</v>
      </c>
      <c r="H1575">
        <v>289</v>
      </c>
      <c r="I1575">
        <v>3</v>
      </c>
      <c r="J1575">
        <v>867</v>
      </c>
    </row>
    <row r="1576" spans="1:10" x14ac:dyDescent="0.25">
      <c r="A1576">
        <v>1575</v>
      </c>
      <c r="B1576" s="2">
        <v>43610</v>
      </c>
      <c r="C1576">
        <v>5</v>
      </c>
      <c r="D1576" s="1" t="s">
        <v>40</v>
      </c>
      <c r="E1576" s="1" t="s">
        <v>43</v>
      </c>
      <c r="F1576" s="1" t="s">
        <v>16</v>
      </c>
      <c r="G1576" s="1" t="s">
        <v>21</v>
      </c>
      <c r="H1576">
        <v>159</v>
      </c>
      <c r="I1576">
        <v>2</v>
      </c>
      <c r="J1576">
        <v>318</v>
      </c>
    </row>
    <row r="1577" spans="1:10" x14ac:dyDescent="0.25">
      <c r="A1577">
        <v>1576</v>
      </c>
      <c r="B1577" s="2">
        <v>43610</v>
      </c>
      <c r="C1577">
        <v>12</v>
      </c>
      <c r="D1577" s="1" t="s">
        <v>42</v>
      </c>
      <c r="E1577" s="1" t="s">
        <v>41</v>
      </c>
      <c r="F1577" s="1" t="s">
        <v>12</v>
      </c>
      <c r="G1577" s="1" t="s">
        <v>32</v>
      </c>
      <c r="H1577">
        <v>399</v>
      </c>
      <c r="I1577">
        <v>2</v>
      </c>
      <c r="J1577">
        <v>798</v>
      </c>
    </row>
    <row r="1578" spans="1:10" x14ac:dyDescent="0.25">
      <c r="A1578">
        <v>1577</v>
      </c>
      <c r="B1578" s="2">
        <v>43610</v>
      </c>
      <c r="C1578">
        <v>13</v>
      </c>
      <c r="D1578" s="1" t="s">
        <v>27</v>
      </c>
      <c r="E1578" s="1" t="s">
        <v>41</v>
      </c>
      <c r="F1578" s="1" t="s">
        <v>12</v>
      </c>
      <c r="G1578" s="1" t="s">
        <v>13</v>
      </c>
      <c r="H1578">
        <v>199</v>
      </c>
      <c r="I1578">
        <v>0</v>
      </c>
      <c r="J1578">
        <v>0</v>
      </c>
    </row>
    <row r="1579" spans="1:10" x14ac:dyDescent="0.25">
      <c r="A1579">
        <v>1578</v>
      </c>
      <c r="B1579" s="2">
        <v>43610</v>
      </c>
      <c r="C1579">
        <v>7</v>
      </c>
      <c r="D1579" s="1" t="s">
        <v>44</v>
      </c>
      <c r="E1579" s="1" t="s">
        <v>35</v>
      </c>
      <c r="F1579" s="1" t="s">
        <v>20</v>
      </c>
      <c r="G1579" s="1" t="s">
        <v>26</v>
      </c>
      <c r="H1579">
        <v>69</v>
      </c>
      <c r="I1579">
        <v>3</v>
      </c>
      <c r="J1579">
        <v>207</v>
      </c>
    </row>
    <row r="1580" spans="1:10" x14ac:dyDescent="0.25">
      <c r="A1580">
        <v>1579</v>
      </c>
      <c r="B1580" s="2">
        <v>43610</v>
      </c>
      <c r="C1580">
        <v>1</v>
      </c>
      <c r="D1580" s="1" t="s">
        <v>14</v>
      </c>
      <c r="E1580" s="1" t="s">
        <v>43</v>
      </c>
      <c r="F1580" s="1" t="s">
        <v>16</v>
      </c>
      <c r="G1580" s="1" t="s">
        <v>13</v>
      </c>
      <c r="H1580">
        <v>199</v>
      </c>
      <c r="I1580">
        <v>1</v>
      </c>
      <c r="J1580">
        <v>199</v>
      </c>
    </row>
    <row r="1581" spans="1:10" x14ac:dyDescent="0.25">
      <c r="A1581">
        <v>1580</v>
      </c>
      <c r="B1581" s="2">
        <v>43610</v>
      </c>
      <c r="C1581">
        <v>11</v>
      </c>
      <c r="D1581" s="1" t="s">
        <v>10</v>
      </c>
      <c r="E1581" s="1" t="s">
        <v>41</v>
      </c>
      <c r="F1581" s="1" t="s">
        <v>12</v>
      </c>
      <c r="G1581" s="1" t="s">
        <v>13</v>
      </c>
      <c r="H1581">
        <v>199</v>
      </c>
      <c r="I1581">
        <v>6</v>
      </c>
      <c r="J1581">
        <v>1194</v>
      </c>
    </row>
    <row r="1582" spans="1:10" x14ac:dyDescent="0.25">
      <c r="A1582">
        <v>1581</v>
      </c>
      <c r="B1582" s="2">
        <v>43610</v>
      </c>
      <c r="C1582">
        <v>9</v>
      </c>
      <c r="D1582" s="1" t="s">
        <v>18</v>
      </c>
      <c r="E1582" s="1" t="s">
        <v>19</v>
      </c>
      <c r="F1582" s="1" t="s">
        <v>20</v>
      </c>
      <c r="G1582" s="1" t="s">
        <v>26</v>
      </c>
      <c r="H1582">
        <v>69</v>
      </c>
      <c r="I1582">
        <v>0</v>
      </c>
      <c r="J1582">
        <v>0</v>
      </c>
    </row>
    <row r="1583" spans="1:10" x14ac:dyDescent="0.25">
      <c r="A1583">
        <v>1582</v>
      </c>
      <c r="B1583" s="2">
        <v>43610</v>
      </c>
      <c r="C1583">
        <v>16</v>
      </c>
      <c r="D1583" s="1" t="s">
        <v>25</v>
      </c>
      <c r="E1583" s="1" t="s">
        <v>23</v>
      </c>
      <c r="F1583" s="1" t="s">
        <v>24</v>
      </c>
      <c r="G1583" s="1" t="s">
        <v>17</v>
      </c>
      <c r="H1583">
        <v>289</v>
      </c>
      <c r="I1583">
        <v>1</v>
      </c>
      <c r="J1583">
        <v>289</v>
      </c>
    </row>
    <row r="1584" spans="1:10" x14ac:dyDescent="0.25">
      <c r="A1584">
        <v>1583</v>
      </c>
      <c r="B1584" s="2">
        <v>43610</v>
      </c>
      <c r="C1584">
        <v>1</v>
      </c>
      <c r="D1584" s="1" t="s">
        <v>14</v>
      </c>
      <c r="E1584" s="1" t="s">
        <v>43</v>
      </c>
      <c r="F1584" s="1" t="s">
        <v>16</v>
      </c>
      <c r="G1584" s="1" t="s">
        <v>17</v>
      </c>
      <c r="H1584">
        <v>289</v>
      </c>
      <c r="I1584">
        <v>9</v>
      </c>
      <c r="J1584">
        <v>2601</v>
      </c>
    </row>
    <row r="1585" spans="1:10" x14ac:dyDescent="0.25">
      <c r="A1585">
        <v>1584</v>
      </c>
      <c r="B1585" s="2">
        <v>43610</v>
      </c>
      <c r="C1585">
        <v>5</v>
      </c>
      <c r="D1585" s="1" t="s">
        <v>40</v>
      </c>
      <c r="E1585" s="1" t="s">
        <v>43</v>
      </c>
      <c r="F1585" s="1" t="s">
        <v>16</v>
      </c>
      <c r="G1585" s="1" t="s">
        <v>13</v>
      </c>
      <c r="H1585">
        <v>199</v>
      </c>
      <c r="I1585">
        <v>8</v>
      </c>
      <c r="J1585">
        <v>1592</v>
      </c>
    </row>
    <row r="1586" spans="1:10" x14ac:dyDescent="0.25">
      <c r="A1586">
        <v>1585</v>
      </c>
      <c r="B1586" s="2">
        <v>43611</v>
      </c>
      <c r="C1586">
        <v>10</v>
      </c>
      <c r="D1586" s="1" t="s">
        <v>39</v>
      </c>
      <c r="E1586" s="1" t="s">
        <v>19</v>
      </c>
      <c r="F1586" s="1" t="s">
        <v>20</v>
      </c>
      <c r="G1586" s="1" t="s">
        <v>21</v>
      </c>
      <c r="H1586">
        <v>159</v>
      </c>
      <c r="I1586">
        <v>6</v>
      </c>
      <c r="J1586">
        <v>954</v>
      </c>
    </row>
    <row r="1587" spans="1:10" x14ac:dyDescent="0.25">
      <c r="A1587">
        <v>1586</v>
      </c>
      <c r="B1587" s="2">
        <v>43611</v>
      </c>
      <c r="C1587">
        <v>4</v>
      </c>
      <c r="D1587" s="1" t="s">
        <v>37</v>
      </c>
      <c r="E1587" s="1" t="s">
        <v>15</v>
      </c>
      <c r="F1587" s="1" t="s">
        <v>16</v>
      </c>
      <c r="G1587" s="1" t="s">
        <v>17</v>
      </c>
      <c r="H1587">
        <v>289</v>
      </c>
      <c r="I1587">
        <v>2</v>
      </c>
      <c r="J1587">
        <v>578</v>
      </c>
    </row>
    <row r="1588" spans="1:10" x14ac:dyDescent="0.25">
      <c r="A1588">
        <v>1587</v>
      </c>
      <c r="B1588" s="2">
        <v>43611</v>
      </c>
      <c r="C1588">
        <v>11</v>
      </c>
      <c r="D1588" s="1" t="s">
        <v>10</v>
      </c>
      <c r="E1588" s="1" t="s">
        <v>41</v>
      </c>
      <c r="F1588" s="1" t="s">
        <v>12</v>
      </c>
      <c r="G1588" s="1" t="s">
        <v>13</v>
      </c>
      <c r="H1588">
        <v>199</v>
      </c>
      <c r="I1588">
        <v>1</v>
      </c>
      <c r="J1588">
        <v>199</v>
      </c>
    </row>
    <row r="1589" spans="1:10" x14ac:dyDescent="0.25">
      <c r="A1589">
        <v>1588</v>
      </c>
      <c r="B1589" s="2">
        <v>43611</v>
      </c>
      <c r="C1589">
        <v>17</v>
      </c>
      <c r="D1589" s="1" t="s">
        <v>28</v>
      </c>
      <c r="E1589" s="1" t="s">
        <v>29</v>
      </c>
      <c r="F1589" s="1" t="s">
        <v>24</v>
      </c>
      <c r="G1589" s="1" t="s">
        <v>21</v>
      </c>
      <c r="H1589">
        <v>159</v>
      </c>
      <c r="I1589">
        <v>9</v>
      </c>
      <c r="J1589">
        <v>1431</v>
      </c>
    </row>
    <row r="1590" spans="1:10" x14ac:dyDescent="0.25">
      <c r="A1590">
        <v>1589</v>
      </c>
      <c r="B1590" s="2">
        <v>43611</v>
      </c>
      <c r="C1590">
        <v>7</v>
      </c>
      <c r="D1590" s="1" t="s">
        <v>44</v>
      </c>
      <c r="E1590" s="1" t="s">
        <v>35</v>
      </c>
      <c r="F1590" s="1" t="s">
        <v>20</v>
      </c>
      <c r="G1590" s="1" t="s">
        <v>26</v>
      </c>
      <c r="H1590">
        <v>69</v>
      </c>
      <c r="I1590">
        <v>3</v>
      </c>
      <c r="J1590">
        <v>207</v>
      </c>
    </row>
    <row r="1591" spans="1:10" x14ac:dyDescent="0.25">
      <c r="A1591">
        <v>1590</v>
      </c>
      <c r="B1591" s="2">
        <v>43611</v>
      </c>
      <c r="C1591">
        <v>17</v>
      </c>
      <c r="D1591" s="1" t="s">
        <v>28</v>
      </c>
      <c r="E1591" s="1" t="s">
        <v>29</v>
      </c>
      <c r="F1591" s="1" t="s">
        <v>24</v>
      </c>
      <c r="G1591" s="1" t="s">
        <v>21</v>
      </c>
      <c r="H1591">
        <v>159</v>
      </c>
      <c r="I1591">
        <v>2</v>
      </c>
      <c r="J1591">
        <v>318</v>
      </c>
    </row>
    <row r="1592" spans="1:10" x14ac:dyDescent="0.25">
      <c r="A1592">
        <v>1591</v>
      </c>
      <c r="B1592" s="2">
        <v>43611</v>
      </c>
      <c r="C1592">
        <v>16</v>
      </c>
      <c r="D1592" s="1" t="s">
        <v>25</v>
      </c>
      <c r="E1592" s="1" t="s">
        <v>29</v>
      </c>
      <c r="F1592" s="1" t="s">
        <v>24</v>
      </c>
      <c r="G1592" s="1" t="s">
        <v>26</v>
      </c>
      <c r="H1592">
        <v>69</v>
      </c>
      <c r="I1592">
        <v>5</v>
      </c>
      <c r="J1592">
        <v>345</v>
      </c>
    </row>
    <row r="1593" spans="1:10" x14ac:dyDescent="0.25">
      <c r="A1593">
        <v>1592</v>
      </c>
      <c r="B1593" s="2">
        <v>43611</v>
      </c>
      <c r="C1593">
        <v>16</v>
      </c>
      <c r="D1593" s="1" t="s">
        <v>25</v>
      </c>
      <c r="E1593" s="1" t="s">
        <v>23</v>
      </c>
      <c r="F1593" s="1" t="s">
        <v>24</v>
      </c>
      <c r="G1593" s="1" t="s">
        <v>21</v>
      </c>
      <c r="H1593">
        <v>159</v>
      </c>
      <c r="I1593">
        <v>7</v>
      </c>
      <c r="J1593">
        <v>1113</v>
      </c>
    </row>
    <row r="1594" spans="1:10" x14ac:dyDescent="0.25">
      <c r="A1594">
        <v>1593</v>
      </c>
      <c r="B1594" s="2">
        <v>43611</v>
      </c>
      <c r="C1594">
        <v>16</v>
      </c>
      <c r="D1594" s="1" t="s">
        <v>25</v>
      </c>
      <c r="E1594" s="1" t="s">
        <v>29</v>
      </c>
      <c r="F1594" s="1" t="s">
        <v>24</v>
      </c>
      <c r="G1594" s="1" t="s">
        <v>17</v>
      </c>
      <c r="H1594">
        <v>289</v>
      </c>
      <c r="I1594">
        <v>9</v>
      </c>
      <c r="J1594">
        <v>2601</v>
      </c>
    </row>
    <row r="1595" spans="1:10" x14ac:dyDescent="0.25">
      <c r="A1595">
        <v>1594</v>
      </c>
      <c r="B1595" s="2">
        <v>43612</v>
      </c>
      <c r="C1595">
        <v>11</v>
      </c>
      <c r="D1595" s="1" t="s">
        <v>10</v>
      </c>
      <c r="E1595" s="1" t="s">
        <v>41</v>
      </c>
      <c r="F1595" s="1" t="s">
        <v>12</v>
      </c>
      <c r="G1595" s="1" t="s">
        <v>32</v>
      </c>
      <c r="H1595">
        <v>399</v>
      </c>
      <c r="I1595">
        <v>0</v>
      </c>
      <c r="J1595">
        <v>0</v>
      </c>
    </row>
    <row r="1596" spans="1:10" x14ac:dyDescent="0.25">
      <c r="A1596">
        <v>1595</v>
      </c>
      <c r="B1596" s="2">
        <v>43612</v>
      </c>
      <c r="C1596">
        <v>19</v>
      </c>
      <c r="D1596" s="1" t="s">
        <v>38</v>
      </c>
      <c r="E1596" s="1" t="s">
        <v>23</v>
      </c>
      <c r="F1596" s="1" t="s">
        <v>24</v>
      </c>
      <c r="G1596" s="1" t="s">
        <v>13</v>
      </c>
      <c r="H1596">
        <v>199</v>
      </c>
      <c r="I1596">
        <v>0</v>
      </c>
      <c r="J1596">
        <v>0</v>
      </c>
    </row>
    <row r="1597" spans="1:10" x14ac:dyDescent="0.25">
      <c r="A1597">
        <v>1596</v>
      </c>
      <c r="B1597" s="2">
        <v>43613</v>
      </c>
      <c r="C1597">
        <v>5</v>
      </c>
      <c r="D1597" s="1" t="s">
        <v>40</v>
      </c>
      <c r="E1597" s="1" t="s">
        <v>15</v>
      </c>
      <c r="F1597" s="1" t="s">
        <v>16</v>
      </c>
      <c r="G1597" s="1" t="s">
        <v>21</v>
      </c>
      <c r="H1597">
        <v>159</v>
      </c>
      <c r="I1597">
        <v>2</v>
      </c>
      <c r="J1597">
        <v>318</v>
      </c>
    </row>
    <row r="1598" spans="1:10" x14ac:dyDescent="0.25">
      <c r="A1598">
        <v>1597</v>
      </c>
      <c r="B1598" s="2">
        <v>43613</v>
      </c>
      <c r="C1598">
        <v>16</v>
      </c>
      <c r="D1598" s="1" t="s">
        <v>25</v>
      </c>
      <c r="E1598" s="1" t="s">
        <v>23</v>
      </c>
      <c r="F1598" s="1" t="s">
        <v>24</v>
      </c>
      <c r="G1598" s="1" t="s">
        <v>13</v>
      </c>
      <c r="H1598">
        <v>199</v>
      </c>
      <c r="I1598">
        <v>8</v>
      </c>
      <c r="J1598">
        <v>1592</v>
      </c>
    </row>
    <row r="1599" spans="1:10" x14ac:dyDescent="0.25">
      <c r="A1599">
        <v>1598</v>
      </c>
      <c r="B1599" s="2">
        <v>43613</v>
      </c>
      <c r="C1599">
        <v>19</v>
      </c>
      <c r="D1599" s="1" t="s">
        <v>38</v>
      </c>
      <c r="E1599" s="1" t="s">
        <v>29</v>
      </c>
      <c r="F1599" s="1" t="s">
        <v>24</v>
      </c>
      <c r="G1599" s="1" t="s">
        <v>21</v>
      </c>
      <c r="H1599">
        <v>159</v>
      </c>
      <c r="I1599">
        <v>3</v>
      </c>
      <c r="J1599">
        <v>477</v>
      </c>
    </row>
    <row r="1600" spans="1:10" x14ac:dyDescent="0.25">
      <c r="A1600">
        <v>1599</v>
      </c>
      <c r="B1600" s="2">
        <v>43613</v>
      </c>
      <c r="C1600">
        <v>5</v>
      </c>
      <c r="D1600" s="1" t="s">
        <v>40</v>
      </c>
      <c r="E1600" s="1" t="s">
        <v>43</v>
      </c>
      <c r="F1600" s="1" t="s">
        <v>16</v>
      </c>
      <c r="G1600" s="1" t="s">
        <v>21</v>
      </c>
      <c r="H1600">
        <v>159</v>
      </c>
      <c r="I1600">
        <v>9</v>
      </c>
      <c r="J1600">
        <v>1431</v>
      </c>
    </row>
    <row r="1601" spans="1:10" x14ac:dyDescent="0.25">
      <c r="A1601">
        <v>1600</v>
      </c>
      <c r="B1601" s="2">
        <v>43613</v>
      </c>
      <c r="C1601">
        <v>9</v>
      </c>
      <c r="D1601" s="1" t="s">
        <v>18</v>
      </c>
      <c r="E1601" s="1" t="s">
        <v>35</v>
      </c>
      <c r="F1601" s="1" t="s">
        <v>20</v>
      </c>
      <c r="G1601" s="1" t="s">
        <v>13</v>
      </c>
      <c r="H1601">
        <v>199</v>
      </c>
      <c r="I1601">
        <v>1</v>
      </c>
      <c r="J1601">
        <v>199</v>
      </c>
    </row>
    <row r="1602" spans="1:10" x14ac:dyDescent="0.25">
      <c r="A1602">
        <v>1601</v>
      </c>
      <c r="B1602" s="2">
        <v>43614</v>
      </c>
      <c r="C1602">
        <v>17</v>
      </c>
      <c r="D1602" s="1" t="s">
        <v>28</v>
      </c>
      <c r="E1602" s="1" t="s">
        <v>23</v>
      </c>
      <c r="F1602" s="1" t="s">
        <v>24</v>
      </c>
      <c r="G1602" s="1" t="s">
        <v>32</v>
      </c>
      <c r="H1602">
        <v>399</v>
      </c>
      <c r="I1602">
        <v>2</v>
      </c>
      <c r="J1602">
        <v>798</v>
      </c>
    </row>
    <row r="1603" spans="1:10" x14ac:dyDescent="0.25">
      <c r="A1603">
        <v>1602</v>
      </c>
      <c r="B1603" s="2">
        <v>43614</v>
      </c>
      <c r="C1603">
        <v>4</v>
      </c>
      <c r="D1603" s="1" t="s">
        <v>37</v>
      </c>
      <c r="E1603" s="1" t="s">
        <v>43</v>
      </c>
      <c r="F1603" s="1" t="s">
        <v>16</v>
      </c>
      <c r="G1603" s="1" t="s">
        <v>13</v>
      </c>
      <c r="H1603">
        <v>199</v>
      </c>
      <c r="I1603">
        <v>1</v>
      </c>
      <c r="J1603">
        <v>199</v>
      </c>
    </row>
    <row r="1604" spans="1:10" x14ac:dyDescent="0.25">
      <c r="A1604">
        <v>1603</v>
      </c>
      <c r="B1604" s="2">
        <v>43614</v>
      </c>
      <c r="C1604">
        <v>18</v>
      </c>
      <c r="D1604" s="1" t="s">
        <v>22</v>
      </c>
      <c r="E1604" s="1" t="s">
        <v>23</v>
      </c>
      <c r="F1604" s="1" t="s">
        <v>24</v>
      </c>
      <c r="G1604" s="1" t="s">
        <v>13</v>
      </c>
      <c r="H1604">
        <v>199</v>
      </c>
      <c r="I1604">
        <v>8</v>
      </c>
      <c r="J1604">
        <v>1592</v>
      </c>
    </row>
    <row r="1605" spans="1:10" x14ac:dyDescent="0.25">
      <c r="A1605">
        <v>1604</v>
      </c>
      <c r="B1605" s="2">
        <v>43614</v>
      </c>
      <c r="C1605">
        <v>13</v>
      </c>
      <c r="D1605" s="1" t="s">
        <v>27</v>
      </c>
      <c r="E1605" s="1" t="s">
        <v>41</v>
      </c>
      <c r="F1605" s="1" t="s">
        <v>12</v>
      </c>
      <c r="G1605" s="1" t="s">
        <v>13</v>
      </c>
      <c r="H1605">
        <v>199</v>
      </c>
      <c r="I1605">
        <v>7</v>
      </c>
      <c r="J1605">
        <v>1393</v>
      </c>
    </row>
    <row r="1606" spans="1:10" x14ac:dyDescent="0.25">
      <c r="A1606">
        <v>1605</v>
      </c>
      <c r="B1606" s="2">
        <v>43614</v>
      </c>
      <c r="C1606">
        <v>6</v>
      </c>
      <c r="D1606" s="1" t="s">
        <v>36</v>
      </c>
      <c r="E1606" s="1" t="s">
        <v>35</v>
      </c>
      <c r="F1606" s="1" t="s">
        <v>20</v>
      </c>
      <c r="G1606" s="1" t="s">
        <v>21</v>
      </c>
      <c r="H1606">
        <v>159</v>
      </c>
      <c r="I1606">
        <v>5</v>
      </c>
      <c r="J1606">
        <v>795</v>
      </c>
    </row>
    <row r="1607" spans="1:10" x14ac:dyDescent="0.25">
      <c r="A1607">
        <v>1606</v>
      </c>
      <c r="B1607" s="2">
        <v>43614</v>
      </c>
      <c r="C1607">
        <v>16</v>
      </c>
      <c r="D1607" s="1" t="s">
        <v>25</v>
      </c>
      <c r="E1607" s="1" t="s">
        <v>23</v>
      </c>
      <c r="F1607" s="1" t="s">
        <v>24</v>
      </c>
      <c r="G1607" s="1" t="s">
        <v>26</v>
      </c>
      <c r="H1607">
        <v>69</v>
      </c>
      <c r="I1607">
        <v>1</v>
      </c>
      <c r="J1607">
        <v>69</v>
      </c>
    </row>
    <row r="1608" spans="1:10" x14ac:dyDescent="0.25">
      <c r="A1608">
        <v>1607</v>
      </c>
      <c r="B1608" s="2">
        <v>43615</v>
      </c>
      <c r="C1608">
        <v>5</v>
      </c>
      <c r="D1608" s="1" t="s">
        <v>40</v>
      </c>
      <c r="E1608" s="1" t="s">
        <v>15</v>
      </c>
      <c r="F1608" s="1" t="s">
        <v>16</v>
      </c>
      <c r="G1608" s="1" t="s">
        <v>17</v>
      </c>
      <c r="H1608">
        <v>289</v>
      </c>
      <c r="I1608">
        <v>3</v>
      </c>
      <c r="J1608">
        <v>867</v>
      </c>
    </row>
    <row r="1609" spans="1:10" x14ac:dyDescent="0.25">
      <c r="A1609">
        <v>1608</v>
      </c>
      <c r="B1609" s="2">
        <v>43615</v>
      </c>
      <c r="C1609">
        <v>17</v>
      </c>
      <c r="D1609" s="1" t="s">
        <v>28</v>
      </c>
      <c r="E1609" s="1" t="s">
        <v>29</v>
      </c>
      <c r="F1609" s="1" t="s">
        <v>24</v>
      </c>
      <c r="G1609" s="1" t="s">
        <v>21</v>
      </c>
      <c r="H1609">
        <v>159</v>
      </c>
      <c r="I1609">
        <v>8</v>
      </c>
      <c r="J1609">
        <v>1272</v>
      </c>
    </row>
    <row r="1610" spans="1:10" x14ac:dyDescent="0.25">
      <c r="A1610">
        <v>1609</v>
      </c>
      <c r="B1610" s="2">
        <v>43615</v>
      </c>
      <c r="C1610">
        <v>3</v>
      </c>
      <c r="D1610" s="1" t="s">
        <v>33</v>
      </c>
      <c r="E1610" s="1" t="s">
        <v>15</v>
      </c>
      <c r="F1610" s="1" t="s">
        <v>16</v>
      </c>
      <c r="G1610" s="1" t="s">
        <v>21</v>
      </c>
      <c r="H1610">
        <v>159</v>
      </c>
      <c r="I1610">
        <v>8</v>
      </c>
      <c r="J1610">
        <v>1272</v>
      </c>
    </row>
    <row r="1611" spans="1:10" x14ac:dyDescent="0.25">
      <c r="A1611">
        <v>1610</v>
      </c>
      <c r="B1611" s="2">
        <v>43616</v>
      </c>
      <c r="C1611">
        <v>18</v>
      </c>
      <c r="D1611" s="1" t="s">
        <v>22</v>
      </c>
      <c r="E1611" s="1" t="s">
        <v>29</v>
      </c>
      <c r="F1611" s="1" t="s">
        <v>24</v>
      </c>
      <c r="G1611" s="1" t="s">
        <v>26</v>
      </c>
      <c r="H1611">
        <v>69</v>
      </c>
      <c r="I1611">
        <v>4</v>
      </c>
      <c r="J1611">
        <v>276</v>
      </c>
    </row>
    <row r="1612" spans="1:10" x14ac:dyDescent="0.25">
      <c r="A1612">
        <v>1611</v>
      </c>
      <c r="B1612" s="2">
        <v>43617</v>
      </c>
      <c r="C1612">
        <v>2</v>
      </c>
      <c r="D1612" s="1" t="s">
        <v>45</v>
      </c>
      <c r="E1612" s="1" t="s">
        <v>43</v>
      </c>
      <c r="F1612" s="1" t="s">
        <v>16</v>
      </c>
      <c r="G1612" s="1" t="s">
        <v>21</v>
      </c>
      <c r="H1612">
        <v>159</v>
      </c>
      <c r="I1612">
        <v>1</v>
      </c>
      <c r="J1612">
        <v>159</v>
      </c>
    </row>
    <row r="1613" spans="1:10" x14ac:dyDescent="0.25">
      <c r="A1613">
        <v>1612</v>
      </c>
      <c r="B1613" s="2">
        <v>43617</v>
      </c>
      <c r="C1613">
        <v>10</v>
      </c>
      <c r="D1613" s="1" t="s">
        <v>39</v>
      </c>
      <c r="E1613" s="1" t="s">
        <v>35</v>
      </c>
      <c r="F1613" s="1" t="s">
        <v>20</v>
      </c>
      <c r="G1613" s="1" t="s">
        <v>21</v>
      </c>
      <c r="H1613">
        <v>159</v>
      </c>
      <c r="I1613">
        <v>2</v>
      </c>
      <c r="J1613">
        <v>318</v>
      </c>
    </row>
    <row r="1614" spans="1:10" x14ac:dyDescent="0.25">
      <c r="A1614">
        <v>1613</v>
      </c>
      <c r="B1614" s="2">
        <v>43617</v>
      </c>
      <c r="C1614">
        <v>17</v>
      </c>
      <c r="D1614" s="1" t="s">
        <v>28</v>
      </c>
      <c r="E1614" s="1" t="s">
        <v>29</v>
      </c>
      <c r="F1614" s="1" t="s">
        <v>24</v>
      </c>
      <c r="G1614" s="1" t="s">
        <v>17</v>
      </c>
      <c r="H1614">
        <v>289</v>
      </c>
      <c r="I1614">
        <v>0</v>
      </c>
      <c r="J1614">
        <v>0</v>
      </c>
    </row>
    <row r="1615" spans="1:10" x14ac:dyDescent="0.25">
      <c r="A1615">
        <v>1614</v>
      </c>
      <c r="B1615" s="2">
        <v>43618</v>
      </c>
      <c r="C1615">
        <v>8</v>
      </c>
      <c r="D1615" s="1" t="s">
        <v>34</v>
      </c>
      <c r="E1615" s="1" t="s">
        <v>35</v>
      </c>
      <c r="F1615" s="1" t="s">
        <v>20</v>
      </c>
      <c r="G1615" s="1" t="s">
        <v>17</v>
      </c>
      <c r="H1615">
        <v>289</v>
      </c>
      <c r="I1615">
        <v>4</v>
      </c>
      <c r="J1615">
        <v>1156</v>
      </c>
    </row>
    <row r="1616" spans="1:10" x14ac:dyDescent="0.25">
      <c r="A1616">
        <v>1615</v>
      </c>
      <c r="B1616" s="2">
        <v>43618</v>
      </c>
      <c r="C1616">
        <v>3</v>
      </c>
      <c r="D1616" s="1" t="s">
        <v>33</v>
      </c>
      <c r="E1616" s="1" t="s">
        <v>43</v>
      </c>
      <c r="F1616" s="1" t="s">
        <v>16</v>
      </c>
      <c r="G1616" s="1" t="s">
        <v>26</v>
      </c>
      <c r="H1616">
        <v>69</v>
      </c>
      <c r="I1616">
        <v>6</v>
      </c>
      <c r="J1616">
        <v>414</v>
      </c>
    </row>
    <row r="1617" spans="1:10" x14ac:dyDescent="0.25">
      <c r="A1617">
        <v>1616</v>
      </c>
      <c r="B1617" s="2">
        <v>43618</v>
      </c>
      <c r="C1617">
        <v>10</v>
      </c>
      <c r="D1617" s="1" t="s">
        <v>39</v>
      </c>
      <c r="E1617" s="1" t="s">
        <v>35</v>
      </c>
      <c r="F1617" s="1" t="s">
        <v>20</v>
      </c>
      <c r="G1617" s="1" t="s">
        <v>26</v>
      </c>
      <c r="H1617">
        <v>69</v>
      </c>
      <c r="I1617">
        <v>4</v>
      </c>
      <c r="J1617">
        <v>276</v>
      </c>
    </row>
    <row r="1618" spans="1:10" x14ac:dyDescent="0.25">
      <c r="A1618">
        <v>1617</v>
      </c>
      <c r="B1618" s="2">
        <v>43618</v>
      </c>
      <c r="C1618">
        <v>15</v>
      </c>
      <c r="D1618" s="1" t="s">
        <v>46</v>
      </c>
      <c r="E1618" s="1" t="s">
        <v>11</v>
      </c>
      <c r="F1618" s="1" t="s">
        <v>12</v>
      </c>
      <c r="G1618" s="1" t="s">
        <v>21</v>
      </c>
      <c r="H1618">
        <v>159</v>
      </c>
      <c r="I1618">
        <v>1</v>
      </c>
      <c r="J1618">
        <v>159</v>
      </c>
    </row>
    <row r="1619" spans="1:10" x14ac:dyDescent="0.25">
      <c r="A1619">
        <v>1618</v>
      </c>
      <c r="B1619" s="2">
        <v>43619</v>
      </c>
      <c r="C1619">
        <v>19</v>
      </c>
      <c r="D1619" s="1" t="s">
        <v>38</v>
      </c>
      <c r="E1619" s="1" t="s">
        <v>29</v>
      </c>
      <c r="F1619" s="1" t="s">
        <v>24</v>
      </c>
      <c r="G1619" s="1" t="s">
        <v>26</v>
      </c>
      <c r="H1619">
        <v>69</v>
      </c>
      <c r="I1619">
        <v>1</v>
      </c>
      <c r="J1619">
        <v>69</v>
      </c>
    </row>
    <row r="1620" spans="1:10" x14ac:dyDescent="0.25">
      <c r="A1620">
        <v>1619</v>
      </c>
      <c r="B1620" s="2">
        <v>43620</v>
      </c>
      <c r="C1620">
        <v>20</v>
      </c>
      <c r="D1620" s="1" t="s">
        <v>31</v>
      </c>
      <c r="E1620" s="1" t="s">
        <v>29</v>
      </c>
      <c r="F1620" s="1" t="s">
        <v>24</v>
      </c>
      <c r="G1620" s="1" t="s">
        <v>21</v>
      </c>
      <c r="H1620">
        <v>159</v>
      </c>
      <c r="I1620">
        <v>4</v>
      </c>
      <c r="J1620">
        <v>636</v>
      </c>
    </row>
    <row r="1621" spans="1:10" x14ac:dyDescent="0.25">
      <c r="A1621">
        <v>1620</v>
      </c>
      <c r="B1621" s="2">
        <v>43621</v>
      </c>
      <c r="C1621">
        <v>9</v>
      </c>
      <c r="D1621" s="1" t="s">
        <v>18</v>
      </c>
      <c r="E1621" s="1" t="s">
        <v>35</v>
      </c>
      <c r="F1621" s="1" t="s">
        <v>20</v>
      </c>
      <c r="G1621" s="1" t="s">
        <v>32</v>
      </c>
      <c r="H1621">
        <v>399</v>
      </c>
      <c r="I1621">
        <v>0</v>
      </c>
      <c r="J1621">
        <v>0</v>
      </c>
    </row>
    <row r="1622" spans="1:10" x14ac:dyDescent="0.25">
      <c r="A1622">
        <v>1621</v>
      </c>
      <c r="B1622" s="2">
        <v>43621</v>
      </c>
      <c r="C1622">
        <v>4</v>
      </c>
      <c r="D1622" s="1" t="s">
        <v>37</v>
      </c>
      <c r="E1622" s="1" t="s">
        <v>43</v>
      </c>
      <c r="F1622" s="1" t="s">
        <v>16</v>
      </c>
      <c r="G1622" s="1" t="s">
        <v>21</v>
      </c>
      <c r="H1622">
        <v>159</v>
      </c>
      <c r="I1622">
        <v>2</v>
      </c>
      <c r="J1622">
        <v>318</v>
      </c>
    </row>
    <row r="1623" spans="1:10" x14ac:dyDescent="0.25">
      <c r="A1623">
        <v>1622</v>
      </c>
      <c r="B1623" s="2">
        <v>43621</v>
      </c>
      <c r="C1623">
        <v>11</v>
      </c>
      <c r="D1623" s="1" t="s">
        <v>10</v>
      </c>
      <c r="E1623" s="1" t="s">
        <v>11</v>
      </c>
      <c r="F1623" s="1" t="s">
        <v>12</v>
      </c>
      <c r="G1623" s="1" t="s">
        <v>17</v>
      </c>
      <c r="H1623">
        <v>289</v>
      </c>
      <c r="I1623">
        <v>2</v>
      </c>
      <c r="J1623">
        <v>578</v>
      </c>
    </row>
    <row r="1624" spans="1:10" x14ac:dyDescent="0.25">
      <c r="A1624">
        <v>1623</v>
      </c>
      <c r="B1624" s="2">
        <v>43621</v>
      </c>
      <c r="C1624">
        <v>2</v>
      </c>
      <c r="D1624" s="1" t="s">
        <v>45</v>
      </c>
      <c r="E1624" s="1" t="s">
        <v>15</v>
      </c>
      <c r="F1624" s="1" t="s">
        <v>16</v>
      </c>
      <c r="G1624" s="1" t="s">
        <v>21</v>
      </c>
      <c r="H1624">
        <v>159</v>
      </c>
      <c r="I1624">
        <v>1</v>
      </c>
      <c r="J1624">
        <v>159</v>
      </c>
    </row>
    <row r="1625" spans="1:10" x14ac:dyDescent="0.25">
      <c r="A1625">
        <v>1624</v>
      </c>
      <c r="B1625" s="2">
        <v>43622</v>
      </c>
      <c r="C1625">
        <v>6</v>
      </c>
      <c r="D1625" s="1" t="s">
        <v>36</v>
      </c>
      <c r="E1625" s="1" t="s">
        <v>35</v>
      </c>
      <c r="F1625" s="1" t="s">
        <v>20</v>
      </c>
      <c r="G1625" s="1" t="s">
        <v>17</v>
      </c>
      <c r="H1625">
        <v>289</v>
      </c>
      <c r="I1625">
        <v>1</v>
      </c>
      <c r="J1625">
        <v>289</v>
      </c>
    </row>
    <row r="1626" spans="1:10" x14ac:dyDescent="0.25">
      <c r="A1626">
        <v>1625</v>
      </c>
      <c r="B1626" s="2">
        <v>43622</v>
      </c>
      <c r="C1626">
        <v>14</v>
      </c>
      <c r="D1626" s="1" t="s">
        <v>30</v>
      </c>
      <c r="E1626" s="1" t="s">
        <v>41</v>
      </c>
      <c r="F1626" s="1" t="s">
        <v>12</v>
      </c>
      <c r="G1626" s="1" t="s">
        <v>13</v>
      </c>
      <c r="H1626">
        <v>199</v>
      </c>
      <c r="I1626">
        <v>7</v>
      </c>
      <c r="J1626">
        <v>1393</v>
      </c>
    </row>
    <row r="1627" spans="1:10" x14ac:dyDescent="0.25">
      <c r="A1627">
        <v>1626</v>
      </c>
      <c r="B1627" s="2">
        <v>43622</v>
      </c>
      <c r="C1627">
        <v>15</v>
      </c>
      <c r="D1627" s="1" t="s">
        <v>46</v>
      </c>
      <c r="E1627" s="1" t="s">
        <v>11</v>
      </c>
      <c r="F1627" s="1" t="s">
        <v>12</v>
      </c>
      <c r="G1627" s="1" t="s">
        <v>13</v>
      </c>
      <c r="H1627">
        <v>199</v>
      </c>
      <c r="I1627">
        <v>6</v>
      </c>
      <c r="J1627">
        <v>1194</v>
      </c>
    </row>
    <row r="1628" spans="1:10" x14ac:dyDescent="0.25">
      <c r="A1628">
        <v>1627</v>
      </c>
      <c r="B1628" s="2">
        <v>43622</v>
      </c>
      <c r="C1628">
        <v>5</v>
      </c>
      <c r="D1628" s="1" t="s">
        <v>40</v>
      </c>
      <c r="E1628" s="1" t="s">
        <v>43</v>
      </c>
      <c r="F1628" s="1" t="s">
        <v>16</v>
      </c>
      <c r="G1628" s="1" t="s">
        <v>32</v>
      </c>
      <c r="H1628">
        <v>399</v>
      </c>
      <c r="I1628">
        <v>6</v>
      </c>
      <c r="J1628">
        <v>2394</v>
      </c>
    </row>
    <row r="1629" spans="1:10" x14ac:dyDescent="0.25">
      <c r="A1629">
        <v>1628</v>
      </c>
      <c r="B1629" s="2">
        <v>43622</v>
      </c>
      <c r="C1629">
        <v>17</v>
      </c>
      <c r="D1629" s="1" t="s">
        <v>28</v>
      </c>
      <c r="E1629" s="1" t="s">
        <v>29</v>
      </c>
      <c r="F1629" s="1" t="s">
        <v>24</v>
      </c>
      <c r="G1629" s="1" t="s">
        <v>21</v>
      </c>
      <c r="H1629">
        <v>159</v>
      </c>
      <c r="I1629">
        <v>7</v>
      </c>
      <c r="J1629">
        <v>1113</v>
      </c>
    </row>
    <row r="1630" spans="1:10" x14ac:dyDescent="0.25">
      <c r="A1630">
        <v>1629</v>
      </c>
      <c r="B1630" s="2">
        <v>43622</v>
      </c>
      <c r="C1630">
        <v>9</v>
      </c>
      <c r="D1630" s="1" t="s">
        <v>18</v>
      </c>
      <c r="E1630" s="1" t="s">
        <v>35</v>
      </c>
      <c r="F1630" s="1" t="s">
        <v>20</v>
      </c>
      <c r="G1630" s="1" t="s">
        <v>32</v>
      </c>
      <c r="H1630">
        <v>399</v>
      </c>
      <c r="I1630">
        <v>0</v>
      </c>
      <c r="J1630">
        <v>0</v>
      </c>
    </row>
    <row r="1631" spans="1:10" x14ac:dyDescent="0.25">
      <c r="A1631">
        <v>1630</v>
      </c>
      <c r="B1631" s="2">
        <v>43622</v>
      </c>
      <c r="C1631">
        <v>4</v>
      </c>
      <c r="D1631" s="1" t="s">
        <v>37</v>
      </c>
      <c r="E1631" s="1" t="s">
        <v>15</v>
      </c>
      <c r="F1631" s="1" t="s">
        <v>16</v>
      </c>
      <c r="G1631" s="1" t="s">
        <v>21</v>
      </c>
      <c r="H1631">
        <v>159</v>
      </c>
      <c r="I1631">
        <v>4</v>
      </c>
      <c r="J1631">
        <v>636</v>
      </c>
    </row>
    <row r="1632" spans="1:10" x14ac:dyDescent="0.25">
      <c r="A1632">
        <v>1631</v>
      </c>
      <c r="B1632" s="2">
        <v>43622</v>
      </c>
      <c r="C1632">
        <v>17</v>
      </c>
      <c r="D1632" s="1" t="s">
        <v>28</v>
      </c>
      <c r="E1632" s="1" t="s">
        <v>29</v>
      </c>
      <c r="F1632" s="1" t="s">
        <v>24</v>
      </c>
      <c r="G1632" s="1" t="s">
        <v>26</v>
      </c>
      <c r="H1632">
        <v>69</v>
      </c>
      <c r="I1632">
        <v>7</v>
      </c>
      <c r="J1632">
        <v>483</v>
      </c>
    </row>
    <row r="1633" spans="1:10" x14ac:dyDescent="0.25">
      <c r="A1633">
        <v>1632</v>
      </c>
      <c r="B1633" s="2">
        <v>43622</v>
      </c>
      <c r="C1633">
        <v>1</v>
      </c>
      <c r="D1633" s="1" t="s">
        <v>14</v>
      </c>
      <c r="E1633" s="1" t="s">
        <v>43</v>
      </c>
      <c r="F1633" s="1" t="s">
        <v>16</v>
      </c>
      <c r="G1633" s="1" t="s">
        <v>32</v>
      </c>
      <c r="H1633">
        <v>399</v>
      </c>
      <c r="I1633">
        <v>0</v>
      </c>
      <c r="J1633">
        <v>0</v>
      </c>
    </row>
    <row r="1634" spans="1:10" x14ac:dyDescent="0.25">
      <c r="A1634">
        <v>1633</v>
      </c>
      <c r="B1634" s="2">
        <v>43622</v>
      </c>
      <c r="C1634">
        <v>15</v>
      </c>
      <c r="D1634" s="1" t="s">
        <v>46</v>
      </c>
      <c r="E1634" s="1" t="s">
        <v>41</v>
      </c>
      <c r="F1634" s="1" t="s">
        <v>12</v>
      </c>
      <c r="G1634" s="1" t="s">
        <v>21</v>
      </c>
      <c r="H1634">
        <v>159</v>
      </c>
      <c r="I1634">
        <v>5</v>
      </c>
      <c r="J1634">
        <v>795</v>
      </c>
    </row>
    <row r="1635" spans="1:10" x14ac:dyDescent="0.25">
      <c r="A1635">
        <v>1634</v>
      </c>
      <c r="B1635" s="2">
        <v>43622</v>
      </c>
      <c r="C1635">
        <v>2</v>
      </c>
      <c r="D1635" s="1" t="s">
        <v>45</v>
      </c>
      <c r="E1635" s="1" t="s">
        <v>15</v>
      </c>
      <c r="F1635" s="1" t="s">
        <v>16</v>
      </c>
      <c r="G1635" s="1" t="s">
        <v>21</v>
      </c>
      <c r="H1635">
        <v>159</v>
      </c>
      <c r="I1635">
        <v>8</v>
      </c>
      <c r="J1635">
        <v>1272</v>
      </c>
    </row>
    <row r="1636" spans="1:10" x14ac:dyDescent="0.25">
      <c r="A1636">
        <v>1635</v>
      </c>
      <c r="B1636" s="2">
        <v>43622</v>
      </c>
      <c r="C1636">
        <v>3</v>
      </c>
      <c r="D1636" s="1" t="s">
        <v>33</v>
      </c>
      <c r="E1636" s="1" t="s">
        <v>15</v>
      </c>
      <c r="F1636" s="1" t="s">
        <v>16</v>
      </c>
      <c r="G1636" s="1" t="s">
        <v>17</v>
      </c>
      <c r="H1636">
        <v>289</v>
      </c>
      <c r="I1636">
        <v>9</v>
      </c>
      <c r="J1636">
        <v>2601</v>
      </c>
    </row>
    <row r="1637" spans="1:10" x14ac:dyDescent="0.25">
      <c r="A1637">
        <v>1636</v>
      </c>
      <c r="B1637" s="2">
        <v>43623</v>
      </c>
      <c r="C1637">
        <v>2</v>
      </c>
      <c r="D1637" s="1" t="s">
        <v>45</v>
      </c>
      <c r="E1637" s="1" t="s">
        <v>43</v>
      </c>
      <c r="F1637" s="1" t="s">
        <v>16</v>
      </c>
      <c r="G1637" s="1" t="s">
        <v>26</v>
      </c>
      <c r="H1637">
        <v>69</v>
      </c>
      <c r="I1637">
        <v>3</v>
      </c>
      <c r="J1637">
        <v>207</v>
      </c>
    </row>
    <row r="1638" spans="1:10" x14ac:dyDescent="0.25">
      <c r="A1638">
        <v>1637</v>
      </c>
      <c r="B1638" s="2">
        <v>43624</v>
      </c>
      <c r="C1638">
        <v>10</v>
      </c>
      <c r="D1638" s="1" t="s">
        <v>39</v>
      </c>
      <c r="E1638" s="1" t="s">
        <v>35</v>
      </c>
      <c r="F1638" s="1" t="s">
        <v>20</v>
      </c>
      <c r="G1638" s="1" t="s">
        <v>32</v>
      </c>
      <c r="H1638">
        <v>399</v>
      </c>
      <c r="I1638">
        <v>5</v>
      </c>
      <c r="J1638">
        <v>1995</v>
      </c>
    </row>
    <row r="1639" spans="1:10" x14ac:dyDescent="0.25">
      <c r="A1639">
        <v>1638</v>
      </c>
      <c r="B1639" s="2">
        <v>43624</v>
      </c>
      <c r="C1639">
        <v>4</v>
      </c>
      <c r="D1639" s="1" t="s">
        <v>37</v>
      </c>
      <c r="E1639" s="1" t="s">
        <v>43</v>
      </c>
      <c r="F1639" s="1" t="s">
        <v>16</v>
      </c>
      <c r="G1639" s="1" t="s">
        <v>13</v>
      </c>
      <c r="H1639">
        <v>199</v>
      </c>
      <c r="I1639">
        <v>1</v>
      </c>
      <c r="J1639">
        <v>199</v>
      </c>
    </row>
    <row r="1640" spans="1:10" x14ac:dyDescent="0.25">
      <c r="A1640">
        <v>1639</v>
      </c>
      <c r="B1640" s="2">
        <v>43624</v>
      </c>
      <c r="C1640">
        <v>20</v>
      </c>
      <c r="D1640" s="1" t="s">
        <v>31</v>
      </c>
      <c r="E1640" s="1" t="s">
        <v>23</v>
      </c>
      <c r="F1640" s="1" t="s">
        <v>24</v>
      </c>
      <c r="G1640" s="1" t="s">
        <v>32</v>
      </c>
      <c r="H1640">
        <v>399</v>
      </c>
      <c r="I1640">
        <v>6</v>
      </c>
      <c r="J1640">
        <v>2394</v>
      </c>
    </row>
    <row r="1641" spans="1:10" x14ac:dyDescent="0.25">
      <c r="A1641">
        <v>1640</v>
      </c>
      <c r="B1641" s="2">
        <v>43624</v>
      </c>
      <c r="C1641">
        <v>19</v>
      </c>
      <c r="D1641" s="1" t="s">
        <v>38</v>
      </c>
      <c r="E1641" s="1" t="s">
        <v>23</v>
      </c>
      <c r="F1641" s="1" t="s">
        <v>24</v>
      </c>
      <c r="G1641" s="1" t="s">
        <v>26</v>
      </c>
      <c r="H1641">
        <v>69</v>
      </c>
      <c r="I1641">
        <v>5</v>
      </c>
      <c r="J1641">
        <v>345</v>
      </c>
    </row>
    <row r="1642" spans="1:10" x14ac:dyDescent="0.25">
      <c r="A1642">
        <v>1641</v>
      </c>
      <c r="B1642" s="2">
        <v>43624</v>
      </c>
      <c r="C1642">
        <v>13</v>
      </c>
      <c r="D1642" s="1" t="s">
        <v>27</v>
      </c>
      <c r="E1642" s="1" t="s">
        <v>11</v>
      </c>
      <c r="F1642" s="1" t="s">
        <v>12</v>
      </c>
      <c r="G1642" s="1" t="s">
        <v>21</v>
      </c>
      <c r="H1642">
        <v>159</v>
      </c>
      <c r="I1642">
        <v>2</v>
      </c>
      <c r="J1642">
        <v>318</v>
      </c>
    </row>
    <row r="1643" spans="1:10" x14ac:dyDescent="0.25">
      <c r="A1643">
        <v>1642</v>
      </c>
      <c r="B1643" s="2">
        <v>43624</v>
      </c>
      <c r="C1643">
        <v>17</v>
      </c>
      <c r="D1643" s="1" t="s">
        <v>28</v>
      </c>
      <c r="E1643" s="1" t="s">
        <v>23</v>
      </c>
      <c r="F1643" s="1" t="s">
        <v>24</v>
      </c>
      <c r="G1643" s="1" t="s">
        <v>32</v>
      </c>
      <c r="H1643">
        <v>399</v>
      </c>
      <c r="I1643">
        <v>9</v>
      </c>
      <c r="J1643">
        <v>3591</v>
      </c>
    </row>
    <row r="1644" spans="1:10" x14ac:dyDescent="0.25">
      <c r="A1644">
        <v>1643</v>
      </c>
      <c r="B1644" s="2">
        <v>43624</v>
      </c>
      <c r="C1644">
        <v>7</v>
      </c>
      <c r="D1644" s="1" t="s">
        <v>44</v>
      </c>
      <c r="E1644" s="1" t="s">
        <v>35</v>
      </c>
      <c r="F1644" s="1" t="s">
        <v>20</v>
      </c>
      <c r="G1644" s="1" t="s">
        <v>13</v>
      </c>
      <c r="H1644">
        <v>199</v>
      </c>
      <c r="I1644">
        <v>9</v>
      </c>
      <c r="J1644">
        <v>1791</v>
      </c>
    </row>
    <row r="1645" spans="1:10" x14ac:dyDescent="0.25">
      <c r="A1645">
        <v>1644</v>
      </c>
      <c r="B1645" s="2">
        <v>43625</v>
      </c>
      <c r="C1645">
        <v>4</v>
      </c>
      <c r="D1645" s="1" t="s">
        <v>37</v>
      </c>
      <c r="E1645" s="1" t="s">
        <v>15</v>
      </c>
      <c r="F1645" s="1" t="s">
        <v>16</v>
      </c>
      <c r="G1645" s="1" t="s">
        <v>32</v>
      </c>
      <c r="H1645">
        <v>399</v>
      </c>
      <c r="I1645">
        <v>6</v>
      </c>
      <c r="J1645">
        <v>2394</v>
      </c>
    </row>
    <row r="1646" spans="1:10" x14ac:dyDescent="0.25">
      <c r="A1646">
        <v>1645</v>
      </c>
      <c r="B1646" s="2">
        <v>43625</v>
      </c>
      <c r="C1646">
        <v>11</v>
      </c>
      <c r="D1646" s="1" t="s">
        <v>10</v>
      </c>
      <c r="E1646" s="1" t="s">
        <v>11</v>
      </c>
      <c r="F1646" s="1" t="s">
        <v>12</v>
      </c>
      <c r="G1646" s="1" t="s">
        <v>32</v>
      </c>
      <c r="H1646">
        <v>399</v>
      </c>
      <c r="I1646">
        <v>3</v>
      </c>
      <c r="J1646">
        <v>1197</v>
      </c>
    </row>
    <row r="1647" spans="1:10" x14ac:dyDescent="0.25">
      <c r="A1647">
        <v>1646</v>
      </c>
      <c r="B1647" s="2">
        <v>43626</v>
      </c>
      <c r="C1647">
        <v>11</v>
      </c>
      <c r="D1647" s="1" t="s">
        <v>10</v>
      </c>
      <c r="E1647" s="1" t="s">
        <v>11</v>
      </c>
      <c r="F1647" s="1" t="s">
        <v>12</v>
      </c>
      <c r="G1647" s="1" t="s">
        <v>13</v>
      </c>
      <c r="H1647">
        <v>199</v>
      </c>
      <c r="I1647">
        <v>4</v>
      </c>
      <c r="J1647">
        <v>796</v>
      </c>
    </row>
    <row r="1648" spans="1:10" x14ac:dyDescent="0.25">
      <c r="A1648">
        <v>1647</v>
      </c>
      <c r="B1648" s="2">
        <v>43626</v>
      </c>
      <c r="C1648">
        <v>13</v>
      </c>
      <c r="D1648" s="1" t="s">
        <v>27</v>
      </c>
      <c r="E1648" s="1" t="s">
        <v>41</v>
      </c>
      <c r="F1648" s="1" t="s">
        <v>12</v>
      </c>
      <c r="G1648" s="1" t="s">
        <v>21</v>
      </c>
      <c r="H1648">
        <v>159</v>
      </c>
      <c r="I1648">
        <v>9</v>
      </c>
      <c r="J1648">
        <v>1431</v>
      </c>
    </row>
    <row r="1649" spans="1:10" x14ac:dyDescent="0.25">
      <c r="A1649">
        <v>1648</v>
      </c>
      <c r="B1649" s="2">
        <v>43626</v>
      </c>
      <c r="C1649">
        <v>1</v>
      </c>
      <c r="D1649" s="1" t="s">
        <v>14</v>
      </c>
      <c r="E1649" s="1" t="s">
        <v>43</v>
      </c>
      <c r="F1649" s="1" t="s">
        <v>16</v>
      </c>
      <c r="G1649" s="1" t="s">
        <v>32</v>
      </c>
      <c r="H1649">
        <v>399</v>
      </c>
      <c r="I1649">
        <v>2</v>
      </c>
      <c r="J1649">
        <v>798</v>
      </c>
    </row>
    <row r="1650" spans="1:10" x14ac:dyDescent="0.25">
      <c r="A1650">
        <v>1649</v>
      </c>
      <c r="B1650" s="2">
        <v>43627</v>
      </c>
      <c r="C1650">
        <v>15</v>
      </c>
      <c r="D1650" s="1" t="s">
        <v>46</v>
      </c>
      <c r="E1650" s="1" t="s">
        <v>11</v>
      </c>
      <c r="F1650" s="1" t="s">
        <v>12</v>
      </c>
      <c r="G1650" s="1" t="s">
        <v>21</v>
      </c>
      <c r="H1650">
        <v>159</v>
      </c>
      <c r="I1650">
        <v>0</v>
      </c>
      <c r="J1650">
        <v>0</v>
      </c>
    </row>
    <row r="1651" spans="1:10" x14ac:dyDescent="0.25">
      <c r="A1651">
        <v>1650</v>
      </c>
      <c r="B1651" s="2">
        <v>43627</v>
      </c>
      <c r="C1651">
        <v>9</v>
      </c>
      <c r="D1651" s="1" t="s">
        <v>18</v>
      </c>
      <c r="E1651" s="1" t="s">
        <v>19</v>
      </c>
      <c r="F1651" s="1" t="s">
        <v>20</v>
      </c>
      <c r="G1651" s="1" t="s">
        <v>32</v>
      </c>
      <c r="H1651">
        <v>399</v>
      </c>
      <c r="I1651">
        <v>3</v>
      </c>
      <c r="J1651">
        <v>1197</v>
      </c>
    </row>
    <row r="1652" spans="1:10" x14ac:dyDescent="0.25">
      <c r="A1652">
        <v>1651</v>
      </c>
      <c r="B1652" s="2">
        <v>43627</v>
      </c>
      <c r="C1652">
        <v>20</v>
      </c>
      <c r="D1652" s="1" t="s">
        <v>31</v>
      </c>
      <c r="E1652" s="1" t="s">
        <v>29</v>
      </c>
      <c r="F1652" s="1" t="s">
        <v>24</v>
      </c>
      <c r="G1652" s="1" t="s">
        <v>26</v>
      </c>
      <c r="H1652">
        <v>69</v>
      </c>
      <c r="I1652">
        <v>0</v>
      </c>
      <c r="J1652">
        <v>0</v>
      </c>
    </row>
    <row r="1653" spans="1:10" x14ac:dyDescent="0.25">
      <c r="A1653">
        <v>1652</v>
      </c>
      <c r="B1653" s="2">
        <v>43627</v>
      </c>
      <c r="C1653">
        <v>9</v>
      </c>
      <c r="D1653" s="1" t="s">
        <v>18</v>
      </c>
      <c r="E1653" s="1" t="s">
        <v>35</v>
      </c>
      <c r="F1653" s="1" t="s">
        <v>20</v>
      </c>
      <c r="G1653" s="1" t="s">
        <v>13</v>
      </c>
      <c r="H1653">
        <v>199</v>
      </c>
      <c r="I1653">
        <v>5</v>
      </c>
      <c r="J1653">
        <v>995</v>
      </c>
    </row>
    <row r="1654" spans="1:10" x14ac:dyDescent="0.25">
      <c r="A1654">
        <v>1653</v>
      </c>
      <c r="B1654" s="2">
        <v>43628</v>
      </c>
      <c r="C1654">
        <v>15</v>
      </c>
      <c r="D1654" s="1" t="s">
        <v>46</v>
      </c>
      <c r="E1654" s="1" t="s">
        <v>11</v>
      </c>
      <c r="F1654" s="1" t="s">
        <v>12</v>
      </c>
      <c r="G1654" s="1" t="s">
        <v>21</v>
      </c>
      <c r="H1654">
        <v>159</v>
      </c>
      <c r="I1654">
        <v>1</v>
      </c>
      <c r="J1654">
        <v>159</v>
      </c>
    </row>
    <row r="1655" spans="1:10" x14ac:dyDescent="0.25">
      <c r="A1655">
        <v>1654</v>
      </c>
      <c r="B1655" s="2">
        <v>43629</v>
      </c>
      <c r="C1655">
        <v>3</v>
      </c>
      <c r="D1655" s="1" t="s">
        <v>33</v>
      </c>
      <c r="E1655" s="1" t="s">
        <v>15</v>
      </c>
      <c r="F1655" s="1" t="s">
        <v>16</v>
      </c>
      <c r="G1655" s="1" t="s">
        <v>32</v>
      </c>
      <c r="H1655">
        <v>399</v>
      </c>
      <c r="I1655">
        <v>5</v>
      </c>
      <c r="J1655">
        <v>1995</v>
      </c>
    </row>
    <row r="1656" spans="1:10" x14ac:dyDescent="0.25">
      <c r="A1656">
        <v>1655</v>
      </c>
      <c r="B1656" s="2">
        <v>43630</v>
      </c>
      <c r="C1656">
        <v>17</v>
      </c>
      <c r="D1656" s="1" t="s">
        <v>28</v>
      </c>
      <c r="E1656" s="1" t="s">
        <v>29</v>
      </c>
      <c r="F1656" s="1" t="s">
        <v>24</v>
      </c>
      <c r="G1656" s="1" t="s">
        <v>13</v>
      </c>
      <c r="H1656">
        <v>199</v>
      </c>
      <c r="I1656">
        <v>8</v>
      </c>
      <c r="J1656">
        <v>1592</v>
      </c>
    </row>
    <row r="1657" spans="1:10" x14ac:dyDescent="0.25">
      <c r="A1657">
        <v>1656</v>
      </c>
      <c r="B1657" s="2">
        <v>43630</v>
      </c>
      <c r="C1657">
        <v>16</v>
      </c>
      <c r="D1657" s="1" t="s">
        <v>25</v>
      </c>
      <c r="E1657" s="1" t="s">
        <v>29</v>
      </c>
      <c r="F1657" s="1" t="s">
        <v>24</v>
      </c>
      <c r="G1657" s="1" t="s">
        <v>17</v>
      </c>
      <c r="H1657">
        <v>289</v>
      </c>
      <c r="I1657">
        <v>9</v>
      </c>
      <c r="J1657">
        <v>2601</v>
      </c>
    </row>
    <row r="1658" spans="1:10" x14ac:dyDescent="0.25">
      <c r="A1658">
        <v>1657</v>
      </c>
      <c r="B1658" s="2">
        <v>43630</v>
      </c>
      <c r="C1658">
        <v>10</v>
      </c>
      <c r="D1658" s="1" t="s">
        <v>39</v>
      </c>
      <c r="E1658" s="1" t="s">
        <v>35</v>
      </c>
      <c r="F1658" s="1" t="s">
        <v>20</v>
      </c>
      <c r="G1658" s="1" t="s">
        <v>32</v>
      </c>
      <c r="H1658">
        <v>399</v>
      </c>
      <c r="I1658">
        <v>8</v>
      </c>
      <c r="J1658">
        <v>3192</v>
      </c>
    </row>
    <row r="1659" spans="1:10" x14ac:dyDescent="0.25">
      <c r="A1659">
        <v>1658</v>
      </c>
      <c r="B1659" s="2">
        <v>43630</v>
      </c>
      <c r="C1659">
        <v>3</v>
      </c>
      <c r="D1659" s="1" t="s">
        <v>33</v>
      </c>
      <c r="E1659" s="1" t="s">
        <v>15</v>
      </c>
      <c r="F1659" s="1" t="s">
        <v>16</v>
      </c>
      <c r="G1659" s="1" t="s">
        <v>32</v>
      </c>
      <c r="H1659">
        <v>399</v>
      </c>
      <c r="I1659">
        <v>8</v>
      </c>
      <c r="J1659">
        <v>3192</v>
      </c>
    </row>
    <row r="1660" spans="1:10" x14ac:dyDescent="0.25">
      <c r="A1660">
        <v>1659</v>
      </c>
      <c r="B1660" s="2">
        <v>43630</v>
      </c>
      <c r="C1660">
        <v>13</v>
      </c>
      <c r="D1660" s="1" t="s">
        <v>27</v>
      </c>
      <c r="E1660" s="1" t="s">
        <v>41</v>
      </c>
      <c r="F1660" s="1" t="s">
        <v>12</v>
      </c>
      <c r="G1660" s="1" t="s">
        <v>26</v>
      </c>
      <c r="H1660">
        <v>69</v>
      </c>
      <c r="I1660">
        <v>4</v>
      </c>
      <c r="J1660">
        <v>276</v>
      </c>
    </row>
    <row r="1661" spans="1:10" x14ac:dyDescent="0.25">
      <c r="A1661">
        <v>1660</v>
      </c>
      <c r="B1661" s="2">
        <v>43631</v>
      </c>
      <c r="C1661">
        <v>13</v>
      </c>
      <c r="D1661" s="1" t="s">
        <v>27</v>
      </c>
      <c r="E1661" s="1" t="s">
        <v>11</v>
      </c>
      <c r="F1661" s="1" t="s">
        <v>12</v>
      </c>
      <c r="G1661" s="1" t="s">
        <v>17</v>
      </c>
      <c r="H1661">
        <v>289</v>
      </c>
      <c r="I1661">
        <v>4</v>
      </c>
      <c r="J1661">
        <v>1156</v>
      </c>
    </row>
    <row r="1662" spans="1:10" x14ac:dyDescent="0.25">
      <c r="A1662">
        <v>1661</v>
      </c>
      <c r="B1662" s="2">
        <v>43631</v>
      </c>
      <c r="C1662">
        <v>9</v>
      </c>
      <c r="D1662" s="1" t="s">
        <v>18</v>
      </c>
      <c r="E1662" s="1" t="s">
        <v>19</v>
      </c>
      <c r="F1662" s="1" t="s">
        <v>20</v>
      </c>
      <c r="G1662" s="1" t="s">
        <v>26</v>
      </c>
      <c r="H1662">
        <v>69</v>
      </c>
      <c r="I1662">
        <v>5</v>
      </c>
      <c r="J1662">
        <v>345</v>
      </c>
    </row>
    <row r="1663" spans="1:10" x14ac:dyDescent="0.25">
      <c r="A1663">
        <v>1662</v>
      </c>
      <c r="B1663" s="2">
        <v>43631</v>
      </c>
      <c r="C1663">
        <v>20</v>
      </c>
      <c r="D1663" s="1" t="s">
        <v>31</v>
      </c>
      <c r="E1663" s="1" t="s">
        <v>29</v>
      </c>
      <c r="F1663" s="1" t="s">
        <v>24</v>
      </c>
      <c r="G1663" s="1" t="s">
        <v>26</v>
      </c>
      <c r="H1663">
        <v>69</v>
      </c>
      <c r="I1663">
        <v>8</v>
      </c>
      <c r="J1663">
        <v>552</v>
      </c>
    </row>
    <row r="1664" spans="1:10" x14ac:dyDescent="0.25">
      <c r="A1664">
        <v>1663</v>
      </c>
      <c r="B1664" s="2">
        <v>43631</v>
      </c>
      <c r="C1664">
        <v>2</v>
      </c>
      <c r="D1664" s="1" t="s">
        <v>45</v>
      </c>
      <c r="E1664" s="1" t="s">
        <v>15</v>
      </c>
      <c r="F1664" s="1" t="s">
        <v>16</v>
      </c>
      <c r="G1664" s="1" t="s">
        <v>17</v>
      </c>
      <c r="H1664">
        <v>289</v>
      </c>
      <c r="I1664">
        <v>5</v>
      </c>
      <c r="J1664">
        <v>1445</v>
      </c>
    </row>
    <row r="1665" spans="1:10" x14ac:dyDescent="0.25">
      <c r="A1665">
        <v>1664</v>
      </c>
      <c r="B1665" s="2">
        <v>43631</v>
      </c>
      <c r="C1665">
        <v>13</v>
      </c>
      <c r="D1665" s="1" t="s">
        <v>27</v>
      </c>
      <c r="E1665" s="1" t="s">
        <v>41</v>
      </c>
      <c r="F1665" s="1" t="s">
        <v>12</v>
      </c>
      <c r="G1665" s="1" t="s">
        <v>32</v>
      </c>
      <c r="H1665">
        <v>399</v>
      </c>
      <c r="I1665">
        <v>7</v>
      </c>
      <c r="J1665">
        <v>2793</v>
      </c>
    </row>
    <row r="1666" spans="1:10" x14ac:dyDescent="0.25">
      <c r="A1666">
        <v>1665</v>
      </c>
      <c r="B1666" s="2">
        <v>43631</v>
      </c>
      <c r="C1666">
        <v>17</v>
      </c>
      <c r="D1666" s="1" t="s">
        <v>28</v>
      </c>
      <c r="E1666" s="1" t="s">
        <v>29</v>
      </c>
      <c r="F1666" s="1" t="s">
        <v>24</v>
      </c>
      <c r="G1666" s="1" t="s">
        <v>13</v>
      </c>
      <c r="H1666">
        <v>199</v>
      </c>
      <c r="I1666">
        <v>3</v>
      </c>
      <c r="J1666">
        <v>597</v>
      </c>
    </row>
    <row r="1667" spans="1:10" x14ac:dyDescent="0.25">
      <c r="A1667">
        <v>1666</v>
      </c>
      <c r="B1667" s="2">
        <v>43632</v>
      </c>
      <c r="C1667">
        <v>20</v>
      </c>
      <c r="D1667" s="1" t="s">
        <v>31</v>
      </c>
      <c r="E1667" s="1" t="s">
        <v>29</v>
      </c>
      <c r="F1667" s="1" t="s">
        <v>24</v>
      </c>
      <c r="G1667" s="1" t="s">
        <v>13</v>
      </c>
      <c r="H1667">
        <v>199</v>
      </c>
      <c r="I1667">
        <v>7</v>
      </c>
      <c r="J1667">
        <v>1393</v>
      </c>
    </row>
    <row r="1668" spans="1:10" x14ac:dyDescent="0.25">
      <c r="A1668">
        <v>1667</v>
      </c>
      <c r="B1668" s="2">
        <v>43632</v>
      </c>
      <c r="C1668">
        <v>8</v>
      </c>
      <c r="D1668" s="1" t="s">
        <v>34</v>
      </c>
      <c r="E1668" s="1" t="s">
        <v>35</v>
      </c>
      <c r="F1668" s="1" t="s">
        <v>20</v>
      </c>
      <c r="G1668" s="1" t="s">
        <v>32</v>
      </c>
      <c r="H1668">
        <v>399</v>
      </c>
      <c r="I1668">
        <v>2</v>
      </c>
      <c r="J1668">
        <v>798</v>
      </c>
    </row>
    <row r="1669" spans="1:10" x14ac:dyDescent="0.25">
      <c r="A1669">
        <v>1668</v>
      </c>
      <c r="B1669" s="2">
        <v>43632</v>
      </c>
      <c r="C1669">
        <v>16</v>
      </c>
      <c r="D1669" s="1" t="s">
        <v>25</v>
      </c>
      <c r="E1669" s="1" t="s">
        <v>23</v>
      </c>
      <c r="F1669" s="1" t="s">
        <v>24</v>
      </c>
      <c r="G1669" s="1" t="s">
        <v>21</v>
      </c>
      <c r="H1669">
        <v>159</v>
      </c>
      <c r="I1669">
        <v>3</v>
      </c>
      <c r="J1669">
        <v>477</v>
      </c>
    </row>
    <row r="1670" spans="1:10" x14ac:dyDescent="0.25">
      <c r="A1670">
        <v>1669</v>
      </c>
      <c r="B1670" s="2">
        <v>43632</v>
      </c>
      <c r="C1670">
        <v>18</v>
      </c>
      <c r="D1670" s="1" t="s">
        <v>22</v>
      </c>
      <c r="E1670" s="1" t="s">
        <v>29</v>
      </c>
      <c r="F1670" s="1" t="s">
        <v>24</v>
      </c>
      <c r="G1670" s="1" t="s">
        <v>26</v>
      </c>
      <c r="H1670">
        <v>69</v>
      </c>
      <c r="I1670">
        <v>8</v>
      </c>
      <c r="J1670">
        <v>552</v>
      </c>
    </row>
    <row r="1671" spans="1:10" x14ac:dyDescent="0.25">
      <c r="A1671">
        <v>1670</v>
      </c>
      <c r="B1671" s="2">
        <v>43633</v>
      </c>
      <c r="C1671">
        <v>1</v>
      </c>
      <c r="D1671" s="1" t="s">
        <v>14</v>
      </c>
      <c r="E1671" s="1" t="s">
        <v>15</v>
      </c>
      <c r="F1671" s="1" t="s">
        <v>16</v>
      </c>
      <c r="G1671" s="1" t="s">
        <v>17</v>
      </c>
      <c r="H1671">
        <v>289</v>
      </c>
      <c r="I1671">
        <v>5</v>
      </c>
      <c r="J1671">
        <v>1445</v>
      </c>
    </row>
    <row r="1672" spans="1:10" x14ac:dyDescent="0.25">
      <c r="A1672">
        <v>1671</v>
      </c>
      <c r="B1672" s="2">
        <v>43633</v>
      </c>
      <c r="C1672">
        <v>17</v>
      </c>
      <c r="D1672" s="1" t="s">
        <v>28</v>
      </c>
      <c r="E1672" s="1" t="s">
        <v>29</v>
      </c>
      <c r="F1672" s="1" t="s">
        <v>24</v>
      </c>
      <c r="G1672" s="1" t="s">
        <v>17</v>
      </c>
      <c r="H1672">
        <v>289</v>
      </c>
      <c r="I1672">
        <v>1</v>
      </c>
      <c r="J1672">
        <v>289</v>
      </c>
    </row>
    <row r="1673" spans="1:10" x14ac:dyDescent="0.25">
      <c r="A1673">
        <v>1672</v>
      </c>
      <c r="B1673" s="2">
        <v>43633</v>
      </c>
      <c r="C1673">
        <v>4</v>
      </c>
      <c r="D1673" s="1" t="s">
        <v>37</v>
      </c>
      <c r="E1673" s="1" t="s">
        <v>43</v>
      </c>
      <c r="F1673" s="1" t="s">
        <v>16</v>
      </c>
      <c r="G1673" s="1" t="s">
        <v>26</v>
      </c>
      <c r="H1673">
        <v>69</v>
      </c>
      <c r="I1673">
        <v>8</v>
      </c>
      <c r="J1673">
        <v>552</v>
      </c>
    </row>
    <row r="1674" spans="1:10" x14ac:dyDescent="0.25">
      <c r="A1674">
        <v>1673</v>
      </c>
      <c r="B1674" s="2">
        <v>43633</v>
      </c>
      <c r="C1674">
        <v>18</v>
      </c>
      <c r="D1674" s="1" t="s">
        <v>22</v>
      </c>
      <c r="E1674" s="1" t="s">
        <v>23</v>
      </c>
      <c r="F1674" s="1" t="s">
        <v>24</v>
      </c>
      <c r="G1674" s="1" t="s">
        <v>21</v>
      </c>
      <c r="H1674">
        <v>159</v>
      </c>
      <c r="I1674">
        <v>6</v>
      </c>
      <c r="J1674">
        <v>954</v>
      </c>
    </row>
    <row r="1675" spans="1:10" x14ac:dyDescent="0.25">
      <c r="A1675">
        <v>1674</v>
      </c>
      <c r="B1675" s="2">
        <v>43634</v>
      </c>
      <c r="C1675">
        <v>17</v>
      </c>
      <c r="D1675" s="1" t="s">
        <v>28</v>
      </c>
      <c r="E1675" s="1" t="s">
        <v>29</v>
      </c>
      <c r="F1675" s="1" t="s">
        <v>24</v>
      </c>
      <c r="G1675" s="1" t="s">
        <v>32</v>
      </c>
      <c r="H1675">
        <v>399</v>
      </c>
      <c r="I1675">
        <v>3</v>
      </c>
      <c r="J1675">
        <v>1197</v>
      </c>
    </row>
    <row r="1676" spans="1:10" x14ac:dyDescent="0.25">
      <c r="A1676">
        <v>1675</v>
      </c>
      <c r="B1676" s="2">
        <v>43635</v>
      </c>
      <c r="C1676">
        <v>13</v>
      </c>
      <c r="D1676" s="1" t="s">
        <v>27</v>
      </c>
      <c r="E1676" s="1" t="s">
        <v>11</v>
      </c>
      <c r="F1676" s="1" t="s">
        <v>12</v>
      </c>
      <c r="G1676" s="1" t="s">
        <v>13</v>
      </c>
      <c r="H1676">
        <v>199</v>
      </c>
      <c r="I1676">
        <v>0</v>
      </c>
      <c r="J1676">
        <v>0</v>
      </c>
    </row>
    <row r="1677" spans="1:10" x14ac:dyDescent="0.25">
      <c r="A1677">
        <v>1676</v>
      </c>
      <c r="B1677" s="2">
        <v>43635</v>
      </c>
      <c r="C1677">
        <v>11</v>
      </c>
      <c r="D1677" s="1" t="s">
        <v>10</v>
      </c>
      <c r="E1677" s="1" t="s">
        <v>11</v>
      </c>
      <c r="F1677" s="1" t="s">
        <v>12</v>
      </c>
      <c r="G1677" s="1" t="s">
        <v>13</v>
      </c>
      <c r="H1677">
        <v>199</v>
      </c>
      <c r="I1677">
        <v>7</v>
      </c>
      <c r="J1677">
        <v>1393</v>
      </c>
    </row>
    <row r="1678" spans="1:10" x14ac:dyDescent="0.25">
      <c r="A1678">
        <v>1677</v>
      </c>
      <c r="B1678" s="2">
        <v>43635</v>
      </c>
      <c r="C1678">
        <v>14</v>
      </c>
      <c r="D1678" s="1" t="s">
        <v>30</v>
      </c>
      <c r="E1678" s="1" t="s">
        <v>41</v>
      </c>
      <c r="F1678" s="1" t="s">
        <v>12</v>
      </c>
      <c r="G1678" s="1" t="s">
        <v>21</v>
      </c>
      <c r="H1678">
        <v>159</v>
      </c>
      <c r="I1678">
        <v>5</v>
      </c>
      <c r="J1678">
        <v>795</v>
      </c>
    </row>
    <row r="1679" spans="1:10" x14ac:dyDescent="0.25">
      <c r="A1679">
        <v>1678</v>
      </c>
      <c r="B1679" s="2">
        <v>43636</v>
      </c>
      <c r="C1679">
        <v>6</v>
      </c>
      <c r="D1679" s="1" t="s">
        <v>36</v>
      </c>
      <c r="E1679" s="1" t="s">
        <v>19</v>
      </c>
      <c r="F1679" s="1" t="s">
        <v>20</v>
      </c>
      <c r="G1679" s="1" t="s">
        <v>21</v>
      </c>
      <c r="H1679">
        <v>159</v>
      </c>
      <c r="I1679">
        <v>2</v>
      </c>
      <c r="J1679">
        <v>318</v>
      </c>
    </row>
    <row r="1680" spans="1:10" x14ac:dyDescent="0.25">
      <c r="A1680">
        <v>1679</v>
      </c>
      <c r="B1680" s="2">
        <v>43637</v>
      </c>
      <c r="C1680">
        <v>20</v>
      </c>
      <c r="D1680" s="1" t="s">
        <v>31</v>
      </c>
      <c r="E1680" s="1" t="s">
        <v>23</v>
      </c>
      <c r="F1680" s="1" t="s">
        <v>24</v>
      </c>
      <c r="G1680" s="1" t="s">
        <v>13</v>
      </c>
      <c r="H1680">
        <v>199</v>
      </c>
      <c r="I1680">
        <v>7</v>
      </c>
      <c r="J1680">
        <v>1393</v>
      </c>
    </row>
    <row r="1681" spans="1:10" x14ac:dyDescent="0.25">
      <c r="A1681">
        <v>1680</v>
      </c>
      <c r="B1681" s="2">
        <v>43638</v>
      </c>
      <c r="C1681">
        <v>4</v>
      </c>
      <c r="D1681" s="1" t="s">
        <v>37</v>
      </c>
      <c r="E1681" s="1" t="s">
        <v>15</v>
      </c>
      <c r="F1681" s="1" t="s">
        <v>16</v>
      </c>
      <c r="G1681" s="1" t="s">
        <v>21</v>
      </c>
      <c r="H1681">
        <v>159</v>
      </c>
      <c r="I1681">
        <v>5</v>
      </c>
      <c r="J1681">
        <v>795</v>
      </c>
    </row>
    <row r="1682" spans="1:10" x14ac:dyDescent="0.25">
      <c r="A1682">
        <v>1681</v>
      </c>
      <c r="B1682" s="2">
        <v>43638</v>
      </c>
      <c r="C1682">
        <v>6</v>
      </c>
      <c r="D1682" s="1" t="s">
        <v>36</v>
      </c>
      <c r="E1682" s="1" t="s">
        <v>35</v>
      </c>
      <c r="F1682" s="1" t="s">
        <v>20</v>
      </c>
      <c r="G1682" s="1" t="s">
        <v>26</v>
      </c>
      <c r="H1682">
        <v>69</v>
      </c>
      <c r="I1682">
        <v>5</v>
      </c>
      <c r="J1682">
        <v>345</v>
      </c>
    </row>
    <row r="1683" spans="1:10" x14ac:dyDescent="0.25">
      <c r="A1683">
        <v>1682</v>
      </c>
      <c r="B1683" s="2">
        <v>43638</v>
      </c>
      <c r="C1683">
        <v>3</v>
      </c>
      <c r="D1683" s="1" t="s">
        <v>33</v>
      </c>
      <c r="E1683" s="1" t="s">
        <v>43</v>
      </c>
      <c r="F1683" s="1" t="s">
        <v>16</v>
      </c>
      <c r="G1683" s="1" t="s">
        <v>13</v>
      </c>
      <c r="H1683">
        <v>199</v>
      </c>
      <c r="I1683">
        <v>5</v>
      </c>
      <c r="J1683">
        <v>995</v>
      </c>
    </row>
    <row r="1684" spans="1:10" x14ac:dyDescent="0.25">
      <c r="A1684">
        <v>1683</v>
      </c>
      <c r="B1684" s="2">
        <v>43638</v>
      </c>
      <c r="C1684">
        <v>9</v>
      </c>
      <c r="D1684" s="1" t="s">
        <v>18</v>
      </c>
      <c r="E1684" s="1" t="s">
        <v>35</v>
      </c>
      <c r="F1684" s="1" t="s">
        <v>20</v>
      </c>
      <c r="G1684" s="1" t="s">
        <v>21</v>
      </c>
      <c r="H1684">
        <v>159</v>
      </c>
      <c r="I1684">
        <v>4</v>
      </c>
      <c r="J1684">
        <v>636</v>
      </c>
    </row>
    <row r="1685" spans="1:10" x14ac:dyDescent="0.25">
      <c r="A1685">
        <v>1684</v>
      </c>
      <c r="B1685" s="2">
        <v>43638</v>
      </c>
      <c r="C1685">
        <v>12</v>
      </c>
      <c r="D1685" s="1" t="s">
        <v>42</v>
      </c>
      <c r="E1685" s="1" t="s">
        <v>41</v>
      </c>
      <c r="F1685" s="1" t="s">
        <v>12</v>
      </c>
      <c r="G1685" s="1" t="s">
        <v>21</v>
      </c>
      <c r="H1685">
        <v>159</v>
      </c>
      <c r="I1685">
        <v>2</v>
      </c>
      <c r="J1685">
        <v>318</v>
      </c>
    </row>
    <row r="1686" spans="1:10" x14ac:dyDescent="0.25">
      <c r="A1686">
        <v>1685</v>
      </c>
      <c r="B1686" s="2">
        <v>43638</v>
      </c>
      <c r="C1686">
        <v>3</v>
      </c>
      <c r="D1686" s="1" t="s">
        <v>33</v>
      </c>
      <c r="E1686" s="1" t="s">
        <v>15</v>
      </c>
      <c r="F1686" s="1" t="s">
        <v>16</v>
      </c>
      <c r="G1686" s="1" t="s">
        <v>21</v>
      </c>
      <c r="H1686">
        <v>159</v>
      </c>
      <c r="I1686">
        <v>8</v>
      </c>
      <c r="J1686">
        <v>1272</v>
      </c>
    </row>
    <row r="1687" spans="1:10" x14ac:dyDescent="0.25">
      <c r="A1687">
        <v>1686</v>
      </c>
      <c r="B1687" s="2">
        <v>43639</v>
      </c>
      <c r="C1687">
        <v>15</v>
      </c>
      <c r="D1687" s="1" t="s">
        <v>46</v>
      </c>
      <c r="E1687" s="1" t="s">
        <v>11</v>
      </c>
      <c r="F1687" s="1" t="s">
        <v>12</v>
      </c>
      <c r="G1687" s="1" t="s">
        <v>21</v>
      </c>
      <c r="H1687">
        <v>159</v>
      </c>
      <c r="I1687">
        <v>4</v>
      </c>
      <c r="J1687">
        <v>636</v>
      </c>
    </row>
    <row r="1688" spans="1:10" x14ac:dyDescent="0.25">
      <c r="A1688">
        <v>1687</v>
      </c>
      <c r="B1688" s="2">
        <v>43639</v>
      </c>
      <c r="C1688">
        <v>9</v>
      </c>
      <c r="D1688" s="1" t="s">
        <v>18</v>
      </c>
      <c r="E1688" s="1" t="s">
        <v>19</v>
      </c>
      <c r="F1688" s="1" t="s">
        <v>20</v>
      </c>
      <c r="G1688" s="1" t="s">
        <v>21</v>
      </c>
      <c r="H1688">
        <v>159</v>
      </c>
      <c r="I1688">
        <v>8</v>
      </c>
      <c r="J1688">
        <v>1272</v>
      </c>
    </row>
    <row r="1689" spans="1:10" x14ac:dyDescent="0.25">
      <c r="A1689">
        <v>1688</v>
      </c>
      <c r="B1689" s="2">
        <v>43640</v>
      </c>
      <c r="C1689">
        <v>13</v>
      </c>
      <c r="D1689" s="1" t="s">
        <v>27</v>
      </c>
      <c r="E1689" s="1" t="s">
        <v>11</v>
      </c>
      <c r="F1689" s="1" t="s">
        <v>12</v>
      </c>
      <c r="G1689" s="1" t="s">
        <v>32</v>
      </c>
      <c r="H1689">
        <v>399</v>
      </c>
      <c r="I1689">
        <v>5</v>
      </c>
      <c r="J1689">
        <v>1995</v>
      </c>
    </row>
    <row r="1690" spans="1:10" x14ac:dyDescent="0.25">
      <c r="A1690">
        <v>1689</v>
      </c>
      <c r="B1690" s="2">
        <v>43641</v>
      </c>
      <c r="C1690">
        <v>16</v>
      </c>
      <c r="D1690" s="1" t="s">
        <v>25</v>
      </c>
      <c r="E1690" s="1" t="s">
        <v>29</v>
      </c>
      <c r="F1690" s="1" t="s">
        <v>24</v>
      </c>
      <c r="G1690" s="1" t="s">
        <v>32</v>
      </c>
      <c r="H1690">
        <v>399</v>
      </c>
      <c r="I1690">
        <v>6</v>
      </c>
      <c r="J1690">
        <v>2394</v>
      </c>
    </row>
    <row r="1691" spans="1:10" x14ac:dyDescent="0.25">
      <c r="A1691">
        <v>1690</v>
      </c>
      <c r="B1691" s="2">
        <v>43642</v>
      </c>
      <c r="C1691">
        <v>7</v>
      </c>
      <c r="D1691" s="1" t="s">
        <v>44</v>
      </c>
      <c r="E1691" s="1" t="s">
        <v>35</v>
      </c>
      <c r="F1691" s="1" t="s">
        <v>20</v>
      </c>
      <c r="G1691" s="1" t="s">
        <v>32</v>
      </c>
      <c r="H1691">
        <v>399</v>
      </c>
      <c r="I1691">
        <v>4</v>
      </c>
      <c r="J1691">
        <v>1596</v>
      </c>
    </row>
    <row r="1692" spans="1:10" x14ac:dyDescent="0.25">
      <c r="A1692">
        <v>1691</v>
      </c>
      <c r="B1692" s="2">
        <v>43642</v>
      </c>
      <c r="C1692">
        <v>2</v>
      </c>
      <c r="D1692" s="1" t="s">
        <v>45</v>
      </c>
      <c r="E1692" s="1" t="s">
        <v>43</v>
      </c>
      <c r="F1692" s="1" t="s">
        <v>16</v>
      </c>
      <c r="G1692" s="1" t="s">
        <v>17</v>
      </c>
      <c r="H1692">
        <v>289</v>
      </c>
      <c r="I1692">
        <v>7</v>
      </c>
      <c r="J1692">
        <v>2023</v>
      </c>
    </row>
    <row r="1693" spans="1:10" x14ac:dyDescent="0.25">
      <c r="A1693">
        <v>1692</v>
      </c>
      <c r="B1693" s="2">
        <v>43643</v>
      </c>
      <c r="C1693">
        <v>9</v>
      </c>
      <c r="D1693" s="1" t="s">
        <v>18</v>
      </c>
      <c r="E1693" s="1" t="s">
        <v>19</v>
      </c>
      <c r="F1693" s="1" t="s">
        <v>20</v>
      </c>
      <c r="G1693" s="1" t="s">
        <v>26</v>
      </c>
      <c r="H1693">
        <v>69</v>
      </c>
      <c r="I1693">
        <v>3</v>
      </c>
      <c r="J1693">
        <v>207</v>
      </c>
    </row>
    <row r="1694" spans="1:10" x14ac:dyDescent="0.25">
      <c r="A1694">
        <v>1693</v>
      </c>
      <c r="B1694" s="2">
        <v>43644</v>
      </c>
      <c r="C1694">
        <v>20</v>
      </c>
      <c r="D1694" s="1" t="s">
        <v>31</v>
      </c>
      <c r="E1694" s="1" t="s">
        <v>29</v>
      </c>
      <c r="F1694" s="1" t="s">
        <v>24</v>
      </c>
      <c r="G1694" s="1" t="s">
        <v>17</v>
      </c>
      <c r="H1694">
        <v>289</v>
      </c>
      <c r="I1694">
        <v>8</v>
      </c>
      <c r="J1694">
        <v>2312</v>
      </c>
    </row>
    <row r="1695" spans="1:10" x14ac:dyDescent="0.25">
      <c r="A1695">
        <v>1694</v>
      </c>
      <c r="B1695" s="2">
        <v>43645</v>
      </c>
      <c r="C1695">
        <v>9</v>
      </c>
      <c r="D1695" s="1" t="s">
        <v>18</v>
      </c>
      <c r="E1695" s="1" t="s">
        <v>19</v>
      </c>
      <c r="F1695" s="1" t="s">
        <v>20</v>
      </c>
      <c r="G1695" s="1" t="s">
        <v>32</v>
      </c>
      <c r="H1695">
        <v>399</v>
      </c>
      <c r="I1695">
        <v>5</v>
      </c>
      <c r="J1695">
        <v>1995</v>
      </c>
    </row>
    <row r="1696" spans="1:10" x14ac:dyDescent="0.25">
      <c r="A1696">
        <v>1695</v>
      </c>
      <c r="B1696" s="2">
        <v>43645</v>
      </c>
      <c r="C1696">
        <v>8</v>
      </c>
      <c r="D1696" s="1" t="s">
        <v>34</v>
      </c>
      <c r="E1696" s="1" t="s">
        <v>35</v>
      </c>
      <c r="F1696" s="1" t="s">
        <v>20</v>
      </c>
      <c r="G1696" s="1" t="s">
        <v>13</v>
      </c>
      <c r="H1696">
        <v>199</v>
      </c>
      <c r="I1696">
        <v>3</v>
      </c>
      <c r="J1696">
        <v>597</v>
      </c>
    </row>
    <row r="1697" spans="1:10" x14ac:dyDescent="0.25">
      <c r="A1697">
        <v>1696</v>
      </c>
      <c r="B1697" s="2">
        <v>43646</v>
      </c>
      <c r="C1697">
        <v>9</v>
      </c>
      <c r="D1697" s="1" t="s">
        <v>18</v>
      </c>
      <c r="E1697" s="1" t="s">
        <v>19</v>
      </c>
      <c r="F1697" s="1" t="s">
        <v>20</v>
      </c>
      <c r="G1697" s="1" t="s">
        <v>21</v>
      </c>
      <c r="H1697">
        <v>159</v>
      </c>
      <c r="I1697">
        <v>7</v>
      </c>
      <c r="J1697">
        <v>1113</v>
      </c>
    </row>
    <row r="1698" spans="1:10" x14ac:dyDescent="0.25">
      <c r="A1698">
        <v>1697</v>
      </c>
      <c r="B1698" s="2">
        <v>43647</v>
      </c>
      <c r="C1698">
        <v>14</v>
      </c>
      <c r="D1698" s="1" t="s">
        <v>30</v>
      </c>
      <c r="E1698" s="1" t="s">
        <v>11</v>
      </c>
      <c r="F1698" s="1" t="s">
        <v>12</v>
      </c>
      <c r="G1698" s="1" t="s">
        <v>26</v>
      </c>
      <c r="H1698">
        <v>69</v>
      </c>
      <c r="I1698">
        <v>8</v>
      </c>
      <c r="J1698">
        <v>552</v>
      </c>
    </row>
    <row r="1699" spans="1:10" x14ac:dyDescent="0.25">
      <c r="A1699">
        <v>1698</v>
      </c>
      <c r="B1699" s="2">
        <v>43648</v>
      </c>
      <c r="C1699">
        <v>8</v>
      </c>
      <c r="D1699" s="1" t="s">
        <v>34</v>
      </c>
      <c r="E1699" s="1" t="s">
        <v>35</v>
      </c>
      <c r="F1699" s="1" t="s">
        <v>20</v>
      </c>
      <c r="G1699" s="1" t="s">
        <v>13</v>
      </c>
      <c r="H1699">
        <v>199</v>
      </c>
      <c r="I1699">
        <v>3</v>
      </c>
      <c r="J1699">
        <v>597</v>
      </c>
    </row>
    <row r="1700" spans="1:10" x14ac:dyDescent="0.25">
      <c r="A1700">
        <v>1699</v>
      </c>
      <c r="B1700" s="2">
        <v>43648</v>
      </c>
      <c r="C1700">
        <v>11</v>
      </c>
      <c r="D1700" s="1" t="s">
        <v>10</v>
      </c>
      <c r="E1700" s="1" t="s">
        <v>11</v>
      </c>
      <c r="F1700" s="1" t="s">
        <v>12</v>
      </c>
      <c r="G1700" s="1" t="s">
        <v>21</v>
      </c>
      <c r="H1700">
        <v>159</v>
      </c>
      <c r="I1700">
        <v>0</v>
      </c>
      <c r="J1700">
        <v>0</v>
      </c>
    </row>
    <row r="1701" spans="1:10" x14ac:dyDescent="0.25">
      <c r="A1701">
        <v>1700</v>
      </c>
      <c r="B1701" s="2">
        <v>43649</v>
      </c>
      <c r="C1701">
        <v>12</v>
      </c>
      <c r="D1701" s="1" t="s">
        <v>42</v>
      </c>
      <c r="E1701" s="1" t="s">
        <v>11</v>
      </c>
      <c r="F1701" s="1" t="s">
        <v>12</v>
      </c>
      <c r="G1701" s="1" t="s">
        <v>17</v>
      </c>
      <c r="H1701">
        <v>289</v>
      </c>
      <c r="I1701">
        <v>5</v>
      </c>
      <c r="J1701">
        <v>1445</v>
      </c>
    </row>
    <row r="1702" spans="1:10" x14ac:dyDescent="0.25">
      <c r="A1702">
        <v>1701</v>
      </c>
      <c r="B1702" s="2">
        <v>43650</v>
      </c>
      <c r="C1702">
        <v>16</v>
      </c>
      <c r="D1702" s="1" t="s">
        <v>25</v>
      </c>
      <c r="E1702" s="1" t="s">
        <v>29</v>
      </c>
      <c r="F1702" s="1" t="s">
        <v>24</v>
      </c>
      <c r="G1702" s="1" t="s">
        <v>32</v>
      </c>
      <c r="H1702">
        <v>399</v>
      </c>
      <c r="I1702">
        <v>4</v>
      </c>
      <c r="J1702">
        <v>1596</v>
      </c>
    </row>
    <row r="1703" spans="1:10" x14ac:dyDescent="0.25">
      <c r="A1703">
        <v>1702</v>
      </c>
      <c r="B1703" s="2">
        <v>43651</v>
      </c>
      <c r="C1703">
        <v>8</v>
      </c>
      <c r="D1703" s="1" t="s">
        <v>34</v>
      </c>
      <c r="E1703" s="1" t="s">
        <v>19</v>
      </c>
      <c r="F1703" s="1" t="s">
        <v>20</v>
      </c>
      <c r="G1703" s="1" t="s">
        <v>13</v>
      </c>
      <c r="H1703">
        <v>199</v>
      </c>
      <c r="I1703">
        <v>5</v>
      </c>
      <c r="J1703">
        <v>995</v>
      </c>
    </row>
    <row r="1704" spans="1:10" x14ac:dyDescent="0.25">
      <c r="A1704">
        <v>1703</v>
      </c>
      <c r="B1704" s="2">
        <v>43651</v>
      </c>
      <c r="C1704">
        <v>5</v>
      </c>
      <c r="D1704" s="1" t="s">
        <v>40</v>
      </c>
      <c r="E1704" s="1" t="s">
        <v>15</v>
      </c>
      <c r="F1704" s="1" t="s">
        <v>16</v>
      </c>
      <c r="G1704" s="1" t="s">
        <v>32</v>
      </c>
      <c r="H1704">
        <v>399</v>
      </c>
      <c r="I1704">
        <v>7</v>
      </c>
      <c r="J1704">
        <v>2793</v>
      </c>
    </row>
    <row r="1705" spans="1:10" x14ac:dyDescent="0.25">
      <c r="A1705">
        <v>1704</v>
      </c>
      <c r="B1705" s="2">
        <v>43652</v>
      </c>
      <c r="C1705">
        <v>18</v>
      </c>
      <c r="D1705" s="1" t="s">
        <v>22</v>
      </c>
      <c r="E1705" s="1" t="s">
        <v>29</v>
      </c>
      <c r="F1705" s="1" t="s">
        <v>24</v>
      </c>
      <c r="G1705" s="1" t="s">
        <v>21</v>
      </c>
      <c r="H1705">
        <v>159</v>
      </c>
      <c r="I1705">
        <v>0</v>
      </c>
      <c r="J1705">
        <v>0</v>
      </c>
    </row>
    <row r="1706" spans="1:10" x14ac:dyDescent="0.25">
      <c r="A1706">
        <v>1705</v>
      </c>
      <c r="B1706" s="2">
        <v>43653</v>
      </c>
      <c r="C1706">
        <v>9</v>
      </c>
      <c r="D1706" s="1" t="s">
        <v>18</v>
      </c>
      <c r="E1706" s="1" t="s">
        <v>19</v>
      </c>
      <c r="F1706" s="1" t="s">
        <v>20</v>
      </c>
      <c r="G1706" s="1" t="s">
        <v>13</v>
      </c>
      <c r="H1706">
        <v>199</v>
      </c>
      <c r="I1706">
        <v>2</v>
      </c>
      <c r="J1706">
        <v>398</v>
      </c>
    </row>
    <row r="1707" spans="1:10" x14ac:dyDescent="0.25">
      <c r="A1707">
        <v>1706</v>
      </c>
      <c r="B1707" s="2">
        <v>43654</v>
      </c>
      <c r="C1707">
        <v>7</v>
      </c>
      <c r="D1707" s="1" t="s">
        <v>44</v>
      </c>
      <c r="E1707" s="1" t="s">
        <v>35</v>
      </c>
      <c r="F1707" s="1" t="s">
        <v>20</v>
      </c>
      <c r="G1707" s="1" t="s">
        <v>26</v>
      </c>
      <c r="H1707">
        <v>69</v>
      </c>
      <c r="I1707">
        <v>3</v>
      </c>
      <c r="J1707">
        <v>207</v>
      </c>
    </row>
    <row r="1708" spans="1:10" x14ac:dyDescent="0.25">
      <c r="A1708">
        <v>1707</v>
      </c>
      <c r="B1708" s="2">
        <v>43655</v>
      </c>
      <c r="C1708">
        <v>19</v>
      </c>
      <c r="D1708" s="1" t="s">
        <v>38</v>
      </c>
      <c r="E1708" s="1" t="s">
        <v>29</v>
      </c>
      <c r="F1708" s="1" t="s">
        <v>24</v>
      </c>
      <c r="G1708" s="1" t="s">
        <v>21</v>
      </c>
      <c r="H1708">
        <v>159</v>
      </c>
      <c r="I1708">
        <v>0</v>
      </c>
      <c r="J1708">
        <v>0</v>
      </c>
    </row>
    <row r="1709" spans="1:10" x14ac:dyDescent="0.25">
      <c r="A1709">
        <v>1708</v>
      </c>
      <c r="B1709" s="2">
        <v>43656</v>
      </c>
      <c r="C1709">
        <v>5</v>
      </c>
      <c r="D1709" s="1" t="s">
        <v>40</v>
      </c>
      <c r="E1709" s="1" t="s">
        <v>15</v>
      </c>
      <c r="F1709" s="1" t="s">
        <v>16</v>
      </c>
      <c r="G1709" s="1" t="s">
        <v>13</v>
      </c>
      <c r="H1709">
        <v>199</v>
      </c>
      <c r="I1709">
        <v>3</v>
      </c>
      <c r="J1709">
        <v>597</v>
      </c>
    </row>
    <row r="1710" spans="1:10" x14ac:dyDescent="0.25">
      <c r="A1710">
        <v>1709</v>
      </c>
      <c r="B1710" s="2">
        <v>43656</v>
      </c>
      <c r="C1710">
        <v>8</v>
      </c>
      <c r="D1710" s="1" t="s">
        <v>34</v>
      </c>
      <c r="E1710" s="1" t="s">
        <v>35</v>
      </c>
      <c r="F1710" s="1" t="s">
        <v>20</v>
      </c>
      <c r="G1710" s="1" t="s">
        <v>13</v>
      </c>
      <c r="H1710">
        <v>199</v>
      </c>
      <c r="I1710">
        <v>6</v>
      </c>
      <c r="J1710">
        <v>1194</v>
      </c>
    </row>
    <row r="1711" spans="1:10" x14ac:dyDescent="0.25">
      <c r="A1711">
        <v>1710</v>
      </c>
      <c r="B1711" s="2">
        <v>43656</v>
      </c>
      <c r="C1711">
        <v>14</v>
      </c>
      <c r="D1711" s="1" t="s">
        <v>30</v>
      </c>
      <c r="E1711" s="1" t="s">
        <v>11</v>
      </c>
      <c r="F1711" s="1" t="s">
        <v>12</v>
      </c>
      <c r="G1711" s="1" t="s">
        <v>32</v>
      </c>
      <c r="H1711">
        <v>399</v>
      </c>
      <c r="I1711">
        <v>0</v>
      </c>
      <c r="J1711">
        <v>0</v>
      </c>
    </row>
    <row r="1712" spans="1:10" x14ac:dyDescent="0.25">
      <c r="A1712">
        <v>1711</v>
      </c>
      <c r="B1712" s="2">
        <v>43656</v>
      </c>
      <c r="C1712">
        <v>13</v>
      </c>
      <c r="D1712" s="1" t="s">
        <v>27</v>
      </c>
      <c r="E1712" s="1" t="s">
        <v>41</v>
      </c>
      <c r="F1712" s="1" t="s">
        <v>12</v>
      </c>
      <c r="G1712" s="1" t="s">
        <v>26</v>
      </c>
      <c r="H1712">
        <v>69</v>
      </c>
      <c r="I1712">
        <v>2</v>
      </c>
      <c r="J1712">
        <v>138</v>
      </c>
    </row>
    <row r="1713" spans="1:10" x14ac:dyDescent="0.25">
      <c r="A1713">
        <v>1712</v>
      </c>
      <c r="B1713" s="2">
        <v>43657</v>
      </c>
      <c r="C1713">
        <v>5</v>
      </c>
      <c r="D1713" s="1" t="s">
        <v>40</v>
      </c>
      <c r="E1713" s="1" t="s">
        <v>15</v>
      </c>
      <c r="F1713" s="1" t="s">
        <v>16</v>
      </c>
      <c r="G1713" s="1" t="s">
        <v>21</v>
      </c>
      <c r="H1713">
        <v>159</v>
      </c>
      <c r="I1713">
        <v>7</v>
      </c>
      <c r="J1713">
        <v>1113</v>
      </c>
    </row>
    <row r="1714" spans="1:10" x14ac:dyDescent="0.25">
      <c r="A1714">
        <v>1713</v>
      </c>
      <c r="B1714" s="2">
        <v>43657</v>
      </c>
      <c r="C1714">
        <v>19</v>
      </c>
      <c r="D1714" s="1" t="s">
        <v>38</v>
      </c>
      <c r="E1714" s="1" t="s">
        <v>23</v>
      </c>
      <c r="F1714" s="1" t="s">
        <v>24</v>
      </c>
      <c r="G1714" s="1" t="s">
        <v>32</v>
      </c>
      <c r="H1714">
        <v>399</v>
      </c>
      <c r="I1714">
        <v>9</v>
      </c>
      <c r="J1714">
        <v>3591</v>
      </c>
    </row>
    <row r="1715" spans="1:10" x14ac:dyDescent="0.25">
      <c r="A1715">
        <v>1714</v>
      </c>
      <c r="B1715" s="2">
        <v>43658</v>
      </c>
      <c r="C1715">
        <v>13</v>
      </c>
      <c r="D1715" s="1" t="s">
        <v>27</v>
      </c>
      <c r="E1715" s="1" t="s">
        <v>11</v>
      </c>
      <c r="F1715" s="1" t="s">
        <v>12</v>
      </c>
      <c r="G1715" s="1" t="s">
        <v>13</v>
      </c>
      <c r="H1715">
        <v>199</v>
      </c>
      <c r="I1715">
        <v>3</v>
      </c>
      <c r="J1715">
        <v>597</v>
      </c>
    </row>
    <row r="1716" spans="1:10" x14ac:dyDescent="0.25">
      <c r="A1716">
        <v>1715</v>
      </c>
      <c r="B1716" s="2">
        <v>43658</v>
      </c>
      <c r="C1716">
        <v>5</v>
      </c>
      <c r="D1716" s="1" t="s">
        <v>40</v>
      </c>
      <c r="E1716" s="1" t="s">
        <v>43</v>
      </c>
      <c r="F1716" s="1" t="s">
        <v>16</v>
      </c>
      <c r="G1716" s="1" t="s">
        <v>26</v>
      </c>
      <c r="H1716">
        <v>69</v>
      </c>
      <c r="I1716">
        <v>3</v>
      </c>
      <c r="J1716">
        <v>207</v>
      </c>
    </row>
    <row r="1717" spans="1:10" x14ac:dyDescent="0.25">
      <c r="A1717">
        <v>1716</v>
      </c>
      <c r="B1717" s="2">
        <v>43658</v>
      </c>
      <c r="C1717">
        <v>14</v>
      </c>
      <c r="D1717" s="1" t="s">
        <v>30</v>
      </c>
      <c r="E1717" s="1" t="s">
        <v>11</v>
      </c>
      <c r="F1717" s="1" t="s">
        <v>12</v>
      </c>
      <c r="G1717" s="1" t="s">
        <v>32</v>
      </c>
      <c r="H1717">
        <v>399</v>
      </c>
      <c r="I1717">
        <v>1</v>
      </c>
      <c r="J1717">
        <v>399</v>
      </c>
    </row>
    <row r="1718" spans="1:10" x14ac:dyDescent="0.25">
      <c r="A1718">
        <v>1717</v>
      </c>
      <c r="B1718" s="2">
        <v>43658</v>
      </c>
      <c r="C1718">
        <v>11</v>
      </c>
      <c r="D1718" s="1" t="s">
        <v>10</v>
      </c>
      <c r="E1718" s="1" t="s">
        <v>11</v>
      </c>
      <c r="F1718" s="1" t="s">
        <v>12</v>
      </c>
      <c r="G1718" s="1" t="s">
        <v>26</v>
      </c>
      <c r="H1718">
        <v>69</v>
      </c>
      <c r="I1718">
        <v>1</v>
      </c>
      <c r="J1718">
        <v>69</v>
      </c>
    </row>
    <row r="1719" spans="1:10" x14ac:dyDescent="0.25">
      <c r="A1719">
        <v>1718</v>
      </c>
      <c r="B1719" s="2">
        <v>43658</v>
      </c>
      <c r="C1719">
        <v>7</v>
      </c>
      <c r="D1719" s="1" t="s">
        <v>44</v>
      </c>
      <c r="E1719" s="1" t="s">
        <v>19</v>
      </c>
      <c r="F1719" s="1" t="s">
        <v>20</v>
      </c>
      <c r="G1719" s="1" t="s">
        <v>21</v>
      </c>
      <c r="H1719">
        <v>159</v>
      </c>
      <c r="I1719">
        <v>8</v>
      </c>
      <c r="J1719">
        <v>1272</v>
      </c>
    </row>
    <row r="1720" spans="1:10" x14ac:dyDescent="0.25">
      <c r="A1720">
        <v>1719</v>
      </c>
      <c r="B1720" s="2">
        <v>43658</v>
      </c>
      <c r="C1720">
        <v>5</v>
      </c>
      <c r="D1720" s="1" t="s">
        <v>40</v>
      </c>
      <c r="E1720" s="1" t="s">
        <v>43</v>
      </c>
      <c r="F1720" s="1" t="s">
        <v>16</v>
      </c>
      <c r="G1720" s="1" t="s">
        <v>17</v>
      </c>
      <c r="H1720">
        <v>289</v>
      </c>
      <c r="I1720">
        <v>0</v>
      </c>
      <c r="J1720">
        <v>0</v>
      </c>
    </row>
    <row r="1721" spans="1:10" x14ac:dyDescent="0.25">
      <c r="A1721">
        <v>1720</v>
      </c>
      <c r="B1721" s="2">
        <v>43658</v>
      </c>
      <c r="C1721">
        <v>1</v>
      </c>
      <c r="D1721" s="1" t="s">
        <v>14</v>
      </c>
      <c r="E1721" s="1" t="s">
        <v>43</v>
      </c>
      <c r="F1721" s="1" t="s">
        <v>16</v>
      </c>
      <c r="G1721" s="1" t="s">
        <v>17</v>
      </c>
      <c r="H1721">
        <v>289</v>
      </c>
      <c r="I1721">
        <v>3</v>
      </c>
      <c r="J1721">
        <v>867</v>
      </c>
    </row>
    <row r="1722" spans="1:10" x14ac:dyDescent="0.25">
      <c r="A1722">
        <v>1721</v>
      </c>
      <c r="B1722" s="2">
        <v>43659</v>
      </c>
      <c r="C1722">
        <v>6</v>
      </c>
      <c r="D1722" s="1" t="s">
        <v>36</v>
      </c>
      <c r="E1722" s="1" t="s">
        <v>35</v>
      </c>
      <c r="F1722" s="1" t="s">
        <v>20</v>
      </c>
      <c r="G1722" s="1" t="s">
        <v>13</v>
      </c>
      <c r="H1722">
        <v>199</v>
      </c>
      <c r="I1722">
        <v>1</v>
      </c>
      <c r="J1722">
        <v>199</v>
      </c>
    </row>
    <row r="1723" spans="1:10" x14ac:dyDescent="0.25">
      <c r="A1723">
        <v>1722</v>
      </c>
      <c r="B1723" s="2">
        <v>43660</v>
      </c>
      <c r="C1723">
        <v>16</v>
      </c>
      <c r="D1723" s="1" t="s">
        <v>25</v>
      </c>
      <c r="E1723" s="1" t="s">
        <v>29</v>
      </c>
      <c r="F1723" s="1" t="s">
        <v>24</v>
      </c>
      <c r="G1723" s="1" t="s">
        <v>13</v>
      </c>
      <c r="H1723">
        <v>199</v>
      </c>
      <c r="I1723">
        <v>8</v>
      </c>
      <c r="J1723">
        <v>1592</v>
      </c>
    </row>
    <row r="1724" spans="1:10" x14ac:dyDescent="0.25">
      <c r="A1724">
        <v>1723</v>
      </c>
      <c r="B1724" s="2">
        <v>43660</v>
      </c>
      <c r="C1724">
        <v>10</v>
      </c>
      <c r="D1724" s="1" t="s">
        <v>39</v>
      </c>
      <c r="E1724" s="1" t="s">
        <v>35</v>
      </c>
      <c r="F1724" s="1" t="s">
        <v>20</v>
      </c>
      <c r="G1724" s="1" t="s">
        <v>13</v>
      </c>
      <c r="H1724">
        <v>199</v>
      </c>
      <c r="I1724">
        <v>2</v>
      </c>
      <c r="J1724">
        <v>398</v>
      </c>
    </row>
    <row r="1725" spans="1:10" x14ac:dyDescent="0.25">
      <c r="A1725">
        <v>1724</v>
      </c>
      <c r="B1725" s="2">
        <v>43660</v>
      </c>
      <c r="C1725">
        <v>20</v>
      </c>
      <c r="D1725" s="1" t="s">
        <v>31</v>
      </c>
      <c r="E1725" s="1" t="s">
        <v>23</v>
      </c>
      <c r="F1725" s="1" t="s">
        <v>24</v>
      </c>
      <c r="G1725" s="1" t="s">
        <v>21</v>
      </c>
      <c r="H1725">
        <v>159</v>
      </c>
      <c r="I1725">
        <v>1</v>
      </c>
      <c r="J1725">
        <v>159</v>
      </c>
    </row>
    <row r="1726" spans="1:10" x14ac:dyDescent="0.25">
      <c r="A1726">
        <v>1725</v>
      </c>
      <c r="B1726" s="2">
        <v>43660</v>
      </c>
      <c r="C1726">
        <v>4</v>
      </c>
      <c r="D1726" s="1" t="s">
        <v>37</v>
      </c>
      <c r="E1726" s="1" t="s">
        <v>15</v>
      </c>
      <c r="F1726" s="1" t="s">
        <v>16</v>
      </c>
      <c r="G1726" s="1" t="s">
        <v>17</v>
      </c>
      <c r="H1726">
        <v>289</v>
      </c>
      <c r="I1726">
        <v>8</v>
      </c>
      <c r="J1726">
        <v>2312</v>
      </c>
    </row>
    <row r="1727" spans="1:10" x14ac:dyDescent="0.25">
      <c r="A1727">
        <v>1726</v>
      </c>
      <c r="B1727" s="2">
        <v>43660</v>
      </c>
      <c r="C1727">
        <v>10</v>
      </c>
      <c r="D1727" s="1" t="s">
        <v>39</v>
      </c>
      <c r="E1727" s="1" t="s">
        <v>35</v>
      </c>
      <c r="F1727" s="1" t="s">
        <v>20</v>
      </c>
      <c r="G1727" s="1" t="s">
        <v>32</v>
      </c>
      <c r="H1727">
        <v>399</v>
      </c>
      <c r="I1727">
        <v>9</v>
      </c>
      <c r="J1727">
        <v>3591</v>
      </c>
    </row>
    <row r="1728" spans="1:10" x14ac:dyDescent="0.25">
      <c r="A1728">
        <v>1727</v>
      </c>
      <c r="B1728" s="2">
        <v>43660</v>
      </c>
      <c r="C1728">
        <v>4</v>
      </c>
      <c r="D1728" s="1" t="s">
        <v>37</v>
      </c>
      <c r="E1728" s="1" t="s">
        <v>15</v>
      </c>
      <c r="F1728" s="1" t="s">
        <v>16</v>
      </c>
      <c r="G1728" s="1" t="s">
        <v>13</v>
      </c>
      <c r="H1728">
        <v>199</v>
      </c>
      <c r="I1728">
        <v>3</v>
      </c>
      <c r="J1728">
        <v>597</v>
      </c>
    </row>
    <row r="1729" spans="1:10" x14ac:dyDescent="0.25">
      <c r="A1729">
        <v>1728</v>
      </c>
      <c r="B1729" s="2">
        <v>43661</v>
      </c>
      <c r="C1729">
        <v>16</v>
      </c>
      <c r="D1729" s="1" t="s">
        <v>25</v>
      </c>
      <c r="E1729" s="1" t="s">
        <v>23</v>
      </c>
      <c r="F1729" s="1" t="s">
        <v>24</v>
      </c>
      <c r="G1729" s="1" t="s">
        <v>21</v>
      </c>
      <c r="H1729">
        <v>159</v>
      </c>
      <c r="I1729">
        <v>3</v>
      </c>
      <c r="J1729">
        <v>477</v>
      </c>
    </row>
    <row r="1730" spans="1:10" x14ac:dyDescent="0.25">
      <c r="A1730">
        <v>1729</v>
      </c>
      <c r="B1730" s="2">
        <v>43661</v>
      </c>
      <c r="C1730">
        <v>2</v>
      </c>
      <c r="D1730" s="1" t="s">
        <v>45</v>
      </c>
      <c r="E1730" s="1" t="s">
        <v>15</v>
      </c>
      <c r="F1730" s="1" t="s">
        <v>16</v>
      </c>
      <c r="G1730" s="1" t="s">
        <v>21</v>
      </c>
      <c r="H1730">
        <v>159</v>
      </c>
      <c r="I1730">
        <v>4</v>
      </c>
      <c r="J1730">
        <v>636</v>
      </c>
    </row>
    <row r="1731" spans="1:10" x14ac:dyDescent="0.25">
      <c r="A1731">
        <v>1730</v>
      </c>
      <c r="B1731" s="2">
        <v>43661</v>
      </c>
      <c r="C1731">
        <v>18</v>
      </c>
      <c r="D1731" s="1" t="s">
        <v>22</v>
      </c>
      <c r="E1731" s="1" t="s">
        <v>29</v>
      </c>
      <c r="F1731" s="1" t="s">
        <v>24</v>
      </c>
      <c r="G1731" s="1" t="s">
        <v>32</v>
      </c>
      <c r="H1731">
        <v>399</v>
      </c>
      <c r="I1731">
        <v>5</v>
      </c>
      <c r="J1731">
        <v>1995</v>
      </c>
    </row>
    <row r="1732" spans="1:10" x14ac:dyDescent="0.25">
      <c r="A1732">
        <v>1731</v>
      </c>
      <c r="B1732" s="2">
        <v>43662</v>
      </c>
      <c r="C1732">
        <v>9</v>
      </c>
      <c r="D1732" s="1" t="s">
        <v>18</v>
      </c>
      <c r="E1732" s="1" t="s">
        <v>35</v>
      </c>
      <c r="F1732" s="1" t="s">
        <v>20</v>
      </c>
      <c r="G1732" s="1" t="s">
        <v>32</v>
      </c>
      <c r="H1732">
        <v>399</v>
      </c>
      <c r="I1732">
        <v>0</v>
      </c>
      <c r="J1732">
        <v>0</v>
      </c>
    </row>
    <row r="1733" spans="1:10" x14ac:dyDescent="0.25">
      <c r="A1733">
        <v>1732</v>
      </c>
      <c r="B1733" s="2">
        <v>43663</v>
      </c>
      <c r="C1733">
        <v>4</v>
      </c>
      <c r="D1733" s="1" t="s">
        <v>37</v>
      </c>
      <c r="E1733" s="1" t="s">
        <v>15</v>
      </c>
      <c r="F1733" s="1" t="s">
        <v>16</v>
      </c>
      <c r="G1733" s="1" t="s">
        <v>32</v>
      </c>
      <c r="H1733">
        <v>399</v>
      </c>
      <c r="I1733">
        <v>8</v>
      </c>
      <c r="J1733">
        <v>3192</v>
      </c>
    </row>
    <row r="1734" spans="1:10" x14ac:dyDescent="0.25">
      <c r="A1734">
        <v>1733</v>
      </c>
      <c r="B1734" s="2">
        <v>43663</v>
      </c>
      <c r="C1734">
        <v>5</v>
      </c>
      <c r="D1734" s="1" t="s">
        <v>40</v>
      </c>
      <c r="E1734" s="1" t="s">
        <v>15</v>
      </c>
      <c r="F1734" s="1" t="s">
        <v>16</v>
      </c>
      <c r="G1734" s="1" t="s">
        <v>21</v>
      </c>
      <c r="H1734">
        <v>159</v>
      </c>
      <c r="I1734">
        <v>9</v>
      </c>
      <c r="J1734">
        <v>1431</v>
      </c>
    </row>
    <row r="1735" spans="1:10" x14ac:dyDescent="0.25">
      <c r="A1735">
        <v>1734</v>
      </c>
      <c r="B1735" s="2">
        <v>43664</v>
      </c>
      <c r="C1735">
        <v>5</v>
      </c>
      <c r="D1735" s="1" t="s">
        <v>40</v>
      </c>
      <c r="E1735" s="1" t="s">
        <v>15</v>
      </c>
      <c r="F1735" s="1" t="s">
        <v>16</v>
      </c>
      <c r="G1735" s="1" t="s">
        <v>32</v>
      </c>
      <c r="H1735">
        <v>399</v>
      </c>
      <c r="I1735">
        <v>2</v>
      </c>
      <c r="J1735">
        <v>798</v>
      </c>
    </row>
    <row r="1736" spans="1:10" x14ac:dyDescent="0.25">
      <c r="A1736">
        <v>1735</v>
      </c>
      <c r="B1736" s="2">
        <v>43664</v>
      </c>
      <c r="C1736">
        <v>12</v>
      </c>
      <c r="D1736" s="1" t="s">
        <v>42</v>
      </c>
      <c r="E1736" s="1" t="s">
        <v>41</v>
      </c>
      <c r="F1736" s="1" t="s">
        <v>12</v>
      </c>
      <c r="G1736" s="1" t="s">
        <v>32</v>
      </c>
      <c r="H1736">
        <v>399</v>
      </c>
      <c r="I1736">
        <v>7</v>
      </c>
      <c r="J1736">
        <v>2793</v>
      </c>
    </row>
    <row r="1737" spans="1:10" x14ac:dyDescent="0.25">
      <c r="A1737">
        <v>1736</v>
      </c>
      <c r="B1737" s="2">
        <v>43664</v>
      </c>
      <c r="C1737">
        <v>7</v>
      </c>
      <c r="D1737" s="1" t="s">
        <v>44</v>
      </c>
      <c r="E1737" s="1" t="s">
        <v>35</v>
      </c>
      <c r="F1737" s="1" t="s">
        <v>20</v>
      </c>
      <c r="G1737" s="1" t="s">
        <v>17</v>
      </c>
      <c r="H1737">
        <v>289</v>
      </c>
      <c r="I1737">
        <v>7</v>
      </c>
      <c r="J1737">
        <v>2023</v>
      </c>
    </row>
    <row r="1738" spans="1:10" x14ac:dyDescent="0.25">
      <c r="A1738">
        <v>1737</v>
      </c>
      <c r="B1738" s="2">
        <v>43664</v>
      </c>
      <c r="C1738">
        <v>1</v>
      </c>
      <c r="D1738" s="1" t="s">
        <v>14</v>
      </c>
      <c r="E1738" s="1" t="s">
        <v>43</v>
      </c>
      <c r="F1738" s="1" t="s">
        <v>16</v>
      </c>
      <c r="G1738" s="1" t="s">
        <v>26</v>
      </c>
      <c r="H1738">
        <v>69</v>
      </c>
      <c r="I1738">
        <v>3</v>
      </c>
      <c r="J1738">
        <v>207</v>
      </c>
    </row>
    <row r="1739" spans="1:10" x14ac:dyDescent="0.25">
      <c r="A1739">
        <v>1738</v>
      </c>
      <c r="B1739" s="2">
        <v>43665</v>
      </c>
      <c r="C1739">
        <v>18</v>
      </c>
      <c r="D1739" s="1" t="s">
        <v>22</v>
      </c>
      <c r="E1739" s="1" t="s">
        <v>29</v>
      </c>
      <c r="F1739" s="1" t="s">
        <v>24</v>
      </c>
      <c r="G1739" s="1" t="s">
        <v>21</v>
      </c>
      <c r="H1739">
        <v>159</v>
      </c>
      <c r="I1739">
        <v>6</v>
      </c>
      <c r="J1739">
        <v>954</v>
      </c>
    </row>
    <row r="1740" spans="1:10" x14ac:dyDescent="0.25">
      <c r="A1740">
        <v>1739</v>
      </c>
      <c r="B1740" s="2">
        <v>43666</v>
      </c>
      <c r="C1740">
        <v>3</v>
      </c>
      <c r="D1740" s="1" t="s">
        <v>33</v>
      </c>
      <c r="E1740" s="1" t="s">
        <v>43</v>
      </c>
      <c r="F1740" s="1" t="s">
        <v>16</v>
      </c>
      <c r="G1740" s="1" t="s">
        <v>26</v>
      </c>
      <c r="H1740">
        <v>69</v>
      </c>
      <c r="I1740">
        <v>3</v>
      </c>
      <c r="J1740">
        <v>207</v>
      </c>
    </row>
    <row r="1741" spans="1:10" x14ac:dyDescent="0.25">
      <c r="A1741">
        <v>1740</v>
      </c>
      <c r="B1741" s="2">
        <v>43666</v>
      </c>
      <c r="C1741">
        <v>2</v>
      </c>
      <c r="D1741" s="1" t="s">
        <v>45</v>
      </c>
      <c r="E1741" s="1" t="s">
        <v>15</v>
      </c>
      <c r="F1741" s="1" t="s">
        <v>16</v>
      </c>
      <c r="G1741" s="1" t="s">
        <v>13</v>
      </c>
      <c r="H1741">
        <v>199</v>
      </c>
      <c r="I1741">
        <v>4</v>
      </c>
      <c r="J1741">
        <v>796</v>
      </c>
    </row>
    <row r="1742" spans="1:10" x14ac:dyDescent="0.25">
      <c r="A1742">
        <v>1741</v>
      </c>
      <c r="B1742" s="2">
        <v>43666</v>
      </c>
      <c r="C1742">
        <v>17</v>
      </c>
      <c r="D1742" s="1" t="s">
        <v>28</v>
      </c>
      <c r="E1742" s="1" t="s">
        <v>23</v>
      </c>
      <c r="F1742" s="1" t="s">
        <v>24</v>
      </c>
      <c r="G1742" s="1" t="s">
        <v>17</v>
      </c>
      <c r="H1742">
        <v>289</v>
      </c>
      <c r="I1742">
        <v>2</v>
      </c>
      <c r="J1742">
        <v>578</v>
      </c>
    </row>
    <row r="1743" spans="1:10" x14ac:dyDescent="0.25">
      <c r="A1743">
        <v>1742</v>
      </c>
      <c r="B1743" s="2">
        <v>43667</v>
      </c>
      <c r="C1743">
        <v>14</v>
      </c>
      <c r="D1743" s="1" t="s">
        <v>30</v>
      </c>
      <c r="E1743" s="1" t="s">
        <v>41</v>
      </c>
      <c r="F1743" s="1" t="s">
        <v>12</v>
      </c>
      <c r="G1743" s="1" t="s">
        <v>17</v>
      </c>
      <c r="H1743">
        <v>289</v>
      </c>
      <c r="I1743">
        <v>9</v>
      </c>
      <c r="J1743">
        <v>2601</v>
      </c>
    </row>
    <row r="1744" spans="1:10" x14ac:dyDescent="0.25">
      <c r="A1744">
        <v>1743</v>
      </c>
      <c r="B1744" s="2">
        <v>43667</v>
      </c>
      <c r="C1744">
        <v>19</v>
      </c>
      <c r="D1744" s="1" t="s">
        <v>38</v>
      </c>
      <c r="E1744" s="1" t="s">
        <v>29</v>
      </c>
      <c r="F1744" s="1" t="s">
        <v>24</v>
      </c>
      <c r="G1744" s="1" t="s">
        <v>26</v>
      </c>
      <c r="H1744">
        <v>69</v>
      </c>
      <c r="I1744">
        <v>2</v>
      </c>
      <c r="J1744">
        <v>138</v>
      </c>
    </row>
    <row r="1745" spans="1:10" x14ac:dyDescent="0.25">
      <c r="A1745">
        <v>1744</v>
      </c>
      <c r="B1745" s="2">
        <v>43667</v>
      </c>
      <c r="C1745">
        <v>9</v>
      </c>
      <c r="D1745" s="1" t="s">
        <v>18</v>
      </c>
      <c r="E1745" s="1" t="s">
        <v>19</v>
      </c>
      <c r="F1745" s="1" t="s">
        <v>20</v>
      </c>
      <c r="G1745" s="1" t="s">
        <v>26</v>
      </c>
      <c r="H1745">
        <v>69</v>
      </c>
      <c r="I1745">
        <v>4</v>
      </c>
      <c r="J1745">
        <v>276</v>
      </c>
    </row>
    <row r="1746" spans="1:10" x14ac:dyDescent="0.25">
      <c r="A1746">
        <v>1745</v>
      </c>
      <c r="B1746" s="2">
        <v>43667</v>
      </c>
      <c r="C1746">
        <v>9</v>
      </c>
      <c r="D1746" s="1" t="s">
        <v>18</v>
      </c>
      <c r="E1746" s="1" t="s">
        <v>35</v>
      </c>
      <c r="F1746" s="1" t="s">
        <v>20</v>
      </c>
      <c r="G1746" s="1" t="s">
        <v>13</v>
      </c>
      <c r="H1746">
        <v>199</v>
      </c>
      <c r="I1746">
        <v>5</v>
      </c>
      <c r="J1746">
        <v>995</v>
      </c>
    </row>
    <row r="1747" spans="1:10" x14ac:dyDescent="0.25">
      <c r="A1747">
        <v>1746</v>
      </c>
      <c r="B1747" s="2">
        <v>43668</v>
      </c>
      <c r="C1747">
        <v>9</v>
      </c>
      <c r="D1747" s="1" t="s">
        <v>18</v>
      </c>
      <c r="E1747" s="1" t="s">
        <v>35</v>
      </c>
      <c r="F1747" s="1" t="s">
        <v>20</v>
      </c>
      <c r="G1747" s="1" t="s">
        <v>26</v>
      </c>
      <c r="H1747">
        <v>69</v>
      </c>
      <c r="I1747">
        <v>4</v>
      </c>
      <c r="J1747">
        <v>276</v>
      </c>
    </row>
    <row r="1748" spans="1:10" x14ac:dyDescent="0.25">
      <c r="A1748">
        <v>1747</v>
      </c>
      <c r="B1748" s="2">
        <v>43668</v>
      </c>
      <c r="C1748">
        <v>6</v>
      </c>
      <c r="D1748" s="1" t="s">
        <v>36</v>
      </c>
      <c r="E1748" s="1" t="s">
        <v>35</v>
      </c>
      <c r="F1748" s="1" t="s">
        <v>20</v>
      </c>
      <c r="G1748" s="1" t="s">
        <v>13</v>
      </c>
      <c r="H1748">
        <v>199</v>
      </c>
      <c r="I1748">
        <v>0</v>
      </c>
      <c r="J1748">
        <v>0</v>
      </c>
    </row>
    <row r="1749" spans="1:10" x14ac:dyDescent="0.25">
      <c r="A1749">
        <v>1748</v>
      </c>
      <c r="B1749" s="2">
        <v>43668</v>
      </c>
      <c r="C1749">
        <v>11</v>
      </c>
      <c r="D1749" s="1" t="s">
        <v>10</v>
      </c>
      <c r="E1749" s="1" t="s">
        <v>41</v>
      </c>
      <c r="F1749" s="1" t="s">
        <v>12</v>
      </c>
      <c r="G1749" s="1" t="s">
        <v>26</v>
      </c>
      <c r="H1749">
        <v>69</v>
      </c>
      <c r="I1749">
        <v>0</v>
      </c>
      <c r="J1749">
        <v>0</v>
      </c>
    </row>
    <row r="1750" spans="1:10" x14ac:dyDescent="0.25">
      <c r="A1750">
        <v>1749</v>
      </c>
      <c r="B1750" s="2">
        <v>43669</v>
      </c>
      <c r="C1750">
        <v>2</v>
      </c>
      <c r="D1750" s="1" t="s">
        <v>45</v>
      </c>
      <c r="E1750" s="1" t="s">
        <v>43</v>
      </c>
      <c r="F1750" s="1" t="s">
        <v>16</v>
      </c>
      <c r="G1750" s="1" t="s">
        <v>32</v>
      </c>
      <c r="H1750">
        <v>399</v>
      </c>
      <c r="I1750">
        <v>9</v>
      </c>
      <c r="J1750">
        <v>3591</v>
      </c>
    </row>
    <row r="1751" spans="1:10" x14ac:dyDescent="0.25">
      <c r="A1751">
        <v>1750</v>
      </c>
      <c r="B1751" s="2">
        <v>43670</v>
      </c>
      <c r="C1751">
        <v>19</v>
      </c>
      <c r="D1751" s="1" t="s">
        <v>38</v>
      </c>
      <c r="E1751" s="1" t="s">
        <v>29</v>
      </c>
      <c r="F1751" s="1" t="s">
        <v>24</v>
      </c>
      <c r="G1751" s="1" t="s">
        <v>26</v>
      </c>
      <c r="H1751">
        <v>69</v>
      </c>
      <c r="I1751">
        <v>1</v>
      </c>
      <c r="J1751">
        <v>69</v>
      </c>
    </row>
    <row r="1752" spans="1:10" x14ac:dyDescent="0.25">
      <c r="A1752">
        <v>1751</v>
      </c>
      <c r="B1752" s="2">
        <v>43671</v>
      </c>
      <c r="C1752">
        <v>15</v>
      </c>
      <c r="D1752" s="1" t="s">
        <v>46</v>
      </c>
      <c r="E1752" s="1" t="s">
        <v>11</v>
      </c>
      <c r="F1752" s="1" t="s">
        <v>12</v>
      </c>
      <c r="G1752" s="1" t="s">
        <v>26</v>
      </c>
      <c r="H1752">
        <v>69</v>
      </c>
      <c r="I1752">
        <v>4</v>
      </c>
      <c r="J1752">
        <v>276</v>
      </c>
    </row>
    <row r="1753" spans="1:10" x14ac:dyDescent="0.25">
      <c r="A1753">
        <v>1752</v>
      </c>
      <c r="B1753" s="2">
        <v>43671</v>
      </c>
      <c r="C1753">
        <v>6</v>
      </c>
      <c r="D1753" s="1" t="s">
        <v>36</v>
      </c>
      <c r="E1753" s="1" t="s">
        <v>19</v>
      </c>
      <c r="F1753" s="1" t="s">
        <v>20</v>
      </c>
      <c r="G1753" s="1" t="s">
        <v>17</v>
      </c>
      <c r="H1753">
        <v>289</v>
      </c>
      <c r="I1753">
        <v>7</v>
      </c>
      <c r="J1753">
        <v>2023</v>
      </c>
    </row>
    <row r="1754" spans="1:10" x14ac:dyDescent="0.25">
      <c r="A1754">
        <v>1753</v>
      </c>
      <c r="B1754" s="2">
        <v>43671</v>
      </c>
      <c r="C1754">
        <v>12</v>
      </c>
      <c r="D1754" s="1" t="s">
        <v>42</v>
      </c>
      <c r="E1754" s="1" t="s">
        <v>41</v>
      </c>
      <c r="F1754" s="1" t="s">
        <v>12</v>
      </c>
      <c r="G1754" s="1" t="s">
        <v>26</v>
      </c>
      <c r="H1754">
        <v>69</v>
      </c>
      <c r="I1754">
        <v>8</v>
      </c>
      <c r="J1754">
        <v>552</v>
      </c>
    </row>
    <row r="1755" spans="1:10" x14ac:dyDescent="0.25">
      <c r="A1755">
        <v>1754</v>
      </c>
      <c r="B1755" s="2">
        <v>43671</v>
      </c>
      <c r="C1755">
        <v>2</v>
      </c>
      <c r="D1755" s="1" t="s">
        <v>45</v>
      </c>
      <c r="E1755" s="1" t="s">
        <v>43</v>
      </c>
      <c r="F1755" s="1" t="s">
        <v>16</v>
      </c>
      <c r="G1755" s="1" t="s">
        <v>26</v>
      </c>
      <c r="H1755">
        <v>69</v>
      </c>
      <c r="I1755">
        <v>9</v>
      </c>
      <c r="J1755">
        <v>621</v>
      </c>
    </row>
    <row r="1756" spans="1:10" x14ac:dyDescent="0.25">
      <c r="A1756">
        <v>1755</v>
      </c>
      <c r="B1756" s="2">
        <v>43671</v>
      </c>
      <c r="C1756">
        <v>15</v>
      </c>
      <c r="D1756" s="1" t="s">
        <v>46</v>
      </c>
      <c r="E1756" s="1" t="s">
        <v>41</v>
      </c>
      <c r="F1756" s="1" t="s">
        <v>12</v>
      </c>
      <c r="G1756" s="1" t="s">
        <v>17</v>
      </c>
      <c r="H1756">
        <v>289</v>
      </c>
      <c r="I1756">
        <v>4</v>
      </c>
      <c r="J1756">
        <v>1156</v>
      </c>
    </row>
    <row r="1757" spans="1:10" x14ac:dyDescent="0.25">
      <c r="A1757">
        <v>1756</v>
      </c>
      <c r="B1757" s="2">
        <v>43671</v>
      </c>
      <c r="C1757">
        <v>2</v>
      </c>
      <c r="D1757" s="1" t="s">
        <v>45</v>
      </c>
      <c r="E1757" s="1" t="s">
        <v>15</v>
      </c>
      <c r="F1757" s="1" t="s">
        <v>16</v>
      </c>
      <c r="G1757" s="1" t="s">
        <v>32</v>
      </c>
      <c r="H1757">
        <v>399</v>
      </c>
      <c r="I1757">
        <v>9</v>
      </c>
      <c r="J1757">
        <v>3591</v>
      </c>
    </row>
    <row r="1758" spans="1:10" x14ac:dyDescent="0.25">
      <c r="A1758">
        <v>1757</v>
      </c>
      <c r="B1758" s="2">
        <v>43671</v>
      </c>
      <c r="C1758">
        <v>4</v>
      </c>
      <c r="D1758" s="1" t="s">
        <v>37</v>
      </c>
      <c r="E1758" s="1" t="s">
        <v>15</v>
      </c>
      <c r="F1758" s="1" t="s">
        <v>16</v>
      </c>
      <c r="G1758" s="1" t="s">
        <v>17</v>
      </c>
      <c r="H1758">
        <v>289</v>
      </c>
      <c r="I1758">
        <v>2</v>
      </c>
      <c r="J1758">
        <v>578</v>
      </c>
    </row>
    <row r="1759" spans="1:10" x14ac:dyDescent="0.25">
      <c r="A1759">
        <v>1758</v>
      </c>
      <c r="B1759" s="2">
        <v>43671</v>
      </c>
      <c r="C1759">
        <v>5</v>
      </c>
      <c r="D1759" s="1" t="s">
        <v>40</v>
      </c>
      <c r="E1759" s="1" t="s">
        <v>43</v>
      </c>
      <c r="F1759" s="1" t="s">
        <v>16</v>
      </c>
      <c r="G1759" s="1" t="s">
        <v>26</v>
      </c>
      <c r="H1759">
        <v>69</v>
      </c>
      <c r="I1759">
        <v>9</v>
      </c>
      <c r="J1759">
        <v>621</v>
      </c>
    </row>
    <row r="1760" spans="1:10" x14ac:dyDescent="0.25">
      <c r="A1760">
        <v>1759</v>
      </c>
      <c r="B1760" s="2">
        <v>43672</v>
      </c>
      <c r="C1760">
        <v>18</v>
      </c>
      <c r="D1760" s="1" t="s">
        <v>22</v>
      </c>
      <c r="E1760" s="1" t="s">
        <v>29</v>
      </c>
      <c r="F1760" s="1" t="s">
        <v>24</v>
      </c>
      <c r="G1760" s="1" t="s">
        <v>21</v>
      </c>
      <c r="H1760">
        <v>159</v>
      </c>
      <c r="I1760">
        <v>5</v>
      </c>
      <c r="J1760">
        <v>795</v>
      </c>
    </row>
    <row r="1761" spans="1:10" x14ac:dyDescent="0.25">
      <c r="A1761">
        <v>1760</v>
      </c>
      <c r="B1761" s="2">
        <v>43673</v>
      </c>
      <c r="C1761">
        <v>18</v>
      </c>
      <c r="D1761" s="1" t="s">
        <v>22</v>
      </c>
      <c r="E1761" s="1" t="s">
        <v>23</v>
      </c>
      <c r="F1761" s="1" t="s">
        <v>24</v>
      </c>
      <c r="G1761" s="1" t="s">
        <v>13</v>
      </c>
      <c r="H1761">
        <v>199</v>
      </c>
      <c r="I1761">
        <v>0</v>
      </c>
      <c r="J1761">
        <v>0</v>
      </c>
    </row>
    <row r="1762" spans="1:10" x14ac:dyDescent="0.25">
      <c r="A1762">
        <v>1761</v>
      </c>
      <c r="B1762" s="2">
        <v>43674</v>
      </c>
      <c r="C1762">
        <v>11</v>
      </c>
      <c r="D1762" s="1" t="s">
        <v>10</v>
      </c>
      <c r="E1762" s="1" t="s">
        <v>11</v>
      </c>
      <c r="F1762" s="1" t="s">
        <v>12</v>
      </c>
      <c r="G1762" s="1" t="s">
        <v>13</v>
      </c>
      <c r="H1762">
        <v>199</v>
      </c>
      <c r="I1762">
        <v>4</v>
      </c>
      <c r="J1762">
        <v>796</v>
      </c>
    </row>
    <row r="1763" spans="1:10" x14ac:dyDescent="0.25">
      <c r="A1763">
        <v>1762</v>
      </c>
      <c r="B1763" s="2">
        <v>43674</v>
      </c>
      <c r="C1763">
        <v>19</v>
      </c>
      <c r="D1763" s="1" t="s">
        <v>38</v>
      </c>
      <c r="E1763" s="1" t="s">
        <v>23</v>
      </c>
      <c r="F1763" s="1" t="s">
        <v>24</v>
      </c>
      <c r="G1763" s="1" t="s">
        <v>26</v>
      </c>
      <c r="H1763">
        <v>69</v>
      </c>
      <c r="I1763">
        <v>8</v>
      </c>
      <c r="J1763">
        <v>552</v>
      </c>
    </row>
    <row r="1764" spans="1:10" x14ac:dyDescent="0.25">
      <c r="A1764">
        <v>1763</v>
      </c>
      <c r="B1764" s="2">
        <v>43675</v>
      </c>
      <c r="C1764">
        <v>2</v>
      </c>
      <c r="D1764" s="1" t="s">
        <v>45</v>
      </c>
      <c r="E1764" s="1" t="s">
        <v>15</v>
      </c>
      <c r="F1764" s="1" t="s">
        <v>16</v>
      </c>
      <c r="G1764" s="1" t="s">
        <v>13</v>
      </c>
      <c r="H1764">
        <v>199</v>
      </c>
      <c r="I1764">
        <v>7</v>
      </c>
      <c r="J1764">
        <v>1393</v>
      </c>
    </row>
    <row r="1765" spans="1:10" x14ac:dyDescent="0.25">
      <c r="A1765">
        <v>1764</v>
      </c>
      <c r="B1765" s="2">
        <v>43675</v>
      </c>
      <c r="C1765">
        <v>9</v>
      </c>
      <c r="D1765" s="1" t="s">
        <v>18</v>
      </c>
      <c r="E1765" s="1" t="s">
        <v>19</v>
      </c>
      <c r="F1765" s="1" t="s">
        <v>20</v>
      </c>
      <c r="G1765" s="1" t="s">
        <v>26</v>
      </c>
      <c r="H1765">
        <v>69</v>
      </c>
      <c r="I1765">
        <v>2</v>
      </c>
      <c r="J1765">
        <v>138</v>
      </c>
    </row>
    <row r="1766" spans="1:10" x14ac:dyDescent="0.25">
      <c r="A1766">
        <v>1765</v>
      </c>
      <c r="B1766" s="2">
        <v>43676</v>
      </c>
      <c r="C1766">
        <v>9</v>
      </c>
      <c r="D1766" s="1" t="s">
        <v>18</v>
      </c>
      <c r="E1766" s="1" t="s">
        <v>35</v>
      </c>
      <c r="F1766" s="1" t="s">
        <v>20</v>
      </c>
      <c r="G1766" s="1" t="s">
        <v>13</v>
      </c>
      <c r="H1766">
        <v>199</v>
      </c>
      <c r="I1766">
        <v>3</v>
      </c>
      <c r="J1766">
        <v>597</v>
      </c>
    </row>
    <row r="1767" spans="1:10" x14ac:dyDescent="0.25">
      <c r="A1767">
        <v>1766</v>
      </c>
      <c r="B1767" s="2">
        <v>43677</v>
      </c>
      <c r="C1767">
        <v>13</v>
      </c>
      <c r="D1767" s="1" t="s">
        <v>27</v>
      </c>
      <c r="E1767" s="1" t="s">
        <v>11</v>
      </c>
      <c r="F1767" s="1" t="s">
        <v>12</v>
      </c>
      <c r="G1767" s="1" t="s">
        <v>32</v>
      </c>
      <c r="H1767">
        <v>399</v>
      </c>
      <c r="I1767">
        <v>8</v>
      </c>
      <c r="J1767">
        <v>3192</v>
      </c>
    </row>
    <row r="1768" spans="1:10" x14ac:dyDescent="0.25">
      <c r="A1768">
        <v>1767</v>
      </c>
      <c r="B1768" s="2">
        <v>43677</v>
      </c>
      <c r="C1768">
        <v>6</v>
      </c>
      <c r="D1768" s="1" t="s">
        <v>36</v>
      </c>
      <c r="E1768" s="1" t="s">
        <v>19</v>
      </c>
      <c r="F1768" s="1" t="s">
        <v>20</v>
      </c>
      <c r="G1768" s="1" t="s">
        <v>32</v>
      </c>
      <c r="H1768">
        <v>399</v>
      </c>
      <c r="I1768">
        <v>9</v>
      </c>
      <c r="J1768">
        <v>3591</v>
      </c>
    </row>
    <row r="1769" spans="1:10" x14ac:dyDescent="0.25">
      <c r="A1769">
        <v>1768</v>
      </c>
      <c r="B1769" s="2">
        <v>43678</v>
      </c>
      <c r="C1769">
        <v>15</v>
      </c>
      <c r="D1769" s="1" t="s">
        <v>46</v>
      </c>
      <c r="E1769" s="1" t="s">
        <v>41</v>
      </c>
      <c r="F1769" s="1" t="s">
        <v>12</v>
      </c>
      <c r="G1769" s="1" t="s">
        <v>21</v>
      </c>
      <c r="H1769">
        <v>159</v>
      </c>
      <c r="I1769">
        <v>1</v>
      </c>
      <c r="J1769">
        <v>159</v>
      </c>
    </row>
    <row r="1770" spans="1:10" x14ac:dyDescent="0.25">
      <c r="A1770">
        <v>1769</v>
      </c>
      <c r="B1770" s="2">
        <v>43679</v>
      </c>
      <c r="C1770">
        <v>6</v>
      </c>
      <c r="D1770" s="1" t="s">
        <v>36</v>
      </c>
      <c r="E1770" s="1" t="s">
        <v>35</v>
      </c>
      <c r="F1770" s="1" t="s">
        <v>20</v>
      </c>
      <c r="G1770" s="1" t="s">
        <v>32</v>
      </c>
      <c r="H1770">
        <v>399</v>
      </c>
      <c r="I1770">
        <v>2</v>
      </c>
      <c r="J1770">
        <v>798</v>
      </c>
    </row>
    <row r="1771" spans="1:10" x14ac:dyDescent="0.25">
      <c r="A1771">
        <v>1770</v>
      </c>
      <c r="B1771" s="2">
        <v>43680</v>
      </c>
      <c r="C1771">
        <v>1</v>
      </c>
      <c r="D1771" s="1" t="s">
        <v>14</v>
      </c>
      <c r="E1771" s="1" t="s">
        <v>43</v>
      </c>
      <c r="F1771" s="1" t="s">
        <v>16</v>
      </c>
      <c r="G1771" s="1" t="s">
        <v>21</v>
      </c>
      <c r="H1771">
        <v>159</v>
      </c>
      <c r="I1771">
        <v>8</v>
      </c>
      <c r="J1771">
        <v>1272</v>
      </c>
    </row>
    <row r="1772" spans="1:10" x14ac:dyDescent="0.25">
      <c r="A1772">
        <v>1771</v>
      </c>
      <c r="B1772" s="2">
        <v>43680</v>
      </c>
      <c r="C1772">
        <v>4</v>
      </c>
      <c r="D1772" s="1" t="s">
        <v>37</v>
      </c>
      <c r="E1772" s="1" t="s">
        <v>15</v>
      </c>
      <c r="F1772" s="1" t="s">
        <v>16</v>
      </c>
      <c r="G1772" s="1" t="s">
        <v>13</v>
      </c>
      <c r="H1772">
        <v>199</v>
      </c>
      <c r="I1772">
        <v>7</v>
      </c>
      <c r="J1772">
        <v>1393</v>
      </c>
    </row>
    <row r="1773" spans="1:10" x14ac:dyDescent="0.25">
      <c r="A1773">
        <v>1772</v>
      </c>
      <c r="B1773" s="2">
        <v>43681</v>
      </c>
      <c r="C1773">
        <v>18</v>
      </c>
      <c r="D1773" s="1" t="s">
        <v>22</v>
      </c>
      <c r="E1773" s="1" t="s">
        <v>29</v>
      </c>
      <c r="F1773" s="1" t="s">
        <v>24</v>
      </c>
      <c r="G1773" s="1" t="s">
        <v>13</v>
      </c>
      <c r="H1773">
        <v>199</v>
      </c>
      <c r="I1773">
        <v>8</v>
      </c>
      <c r="J1773">
        <v>1592</v>
      </c>
    </row>
    <row r="1774" spans="1:10" x14ac:dyDescent="0.25">
      <c r="A1774">
        <v>1773</v>
      </c>
      <c r="B1774" s="2">
        <v>43681</v>
      </c>
      <c r="C1774">
        <v>5</v>
      </c>
      <c r="D1774" s="1" t="s">
        <v>40</v>
      </c>
      <c r="E1774" s="1" t="s">
        <v>15</v>
      </c>
      <c r="F1774" s="1" t="s">
        <v>16</v>
      </c>
      <c r="G1774" s="1" t="s">
        <v>13</v>
      </c>
      <c r="H1774">
        <v>199</v>
      </c>
      <c r="I1774">
        <v>2</v>
      </c>
      <c r="J1774">
        <v>398</v>
      </c>
    </row>
    <row r="1775" spans="1:10" x14ac:dyDescent="0.25">
      <c r="A1775">
        <v>1774</v>
      </c>
      <c r="B1775" s="2">
        <v>43681</v>
      </c>
      <c r="C1775">
        <v>8</v>
      </c>
      <c r="D1775" s="1" t="s">
        <v>34</v>
      </c>
      <c r="E1775" s="1" t="s">
        <v>35</v>
      </c>
      <c r="F1775" s="1" t="s">
        <v>20</v>
      </c>
      <c r="G1775" s="1" t="s">
        <v>13</v>
      </c>
      <c r="H1775">
        <v>199</v>
      </c>
      <c r="I1775">
        <v>1</v>
      </c>
      <c r="J1775">
        <v>199</v>
      </c>
    </row>
    <row r="1776" spans="1:10" x14ac:dyDescent="0.25">
      <c r="A1776">
        <v>1775</v>
      </c>
      <c r="B1776" s="2">
        <v>43681</v>
      </c>
      <c r="C1776">
        <v>7</v>
      </c>
      <c r="D1776" s="1" t="s">
        <v>44</v>
      </c>
      <c r="E1776" s="1" t="s">
        <v>35</v>
      </c>
      <c r="F1776" s="1" t="s">
        <v>20</v>
      </c>
      <c r="G1776" s="1" t="s">
        <v>26</v>
      </c>
      <c r="H1776">
        <v>69</v>
      </c>
      <c r="I1776">
        <v>9</v>
      </c>
      <c r="J1776">
        <v>621</v>
      </c>
    </row>
    <row r="1777" spans="1:10" x14ac:dyDescent="0.25">
      <c r="A1777">
        <v>1776</v>
      </c>
      <c r="B1777" s="2">
        <v>43682</v>
      </c>
      <c r="C1777">
        <v>2</v>
      </c>
      <c r="D1777" s="1" t="s">
        <v>45</v>
      </c>
      <c r="E1777" s="1" t="s">
        <v>15</v>
      </c>
      <c r="F1777" s="1" t="s">
        <v>16</v>
      </c>
      <c r="G1777" s="1" t="s">
        <v>17</v>
      </c>
      <c r="H1777">
        <v>289</v>
      </c>
      <c r="I1777">
        <v>8</v>
      </c>
      <c r="J1777">
        <v>2312</v>
      </c>
    </row>
    <row r="1778" spans="1:10" x14ac:dyDescent="0.25">
      <c r="A1778">
        <v>1777</v>
      </c>
      <c r="B1778" s="2">
        <v>43683</v>
      </c>
      <c r="C1778">
        <v>7</v>
      </c>
      <c r="D1778" s="1" t="s">
        <v>44</v>
      </c>
      <c r="E1778" s="1" t="s">
        <v>19</v>
      </c>
      <c r="F1778" s="1" t="s">
        <v>20</v>
      </c>
      <c r="G1778" s="1" t="s">
        <v>32</v>
      </c>
      <c r="H1778">
        <v>399</v>
      </c>
      <c r="I1778">
        <v>6</v>
      </c>
      <c r="J1778">
        <v>2394</v>
      </c>
    </row>
    <row r="1779" spans="1:10" x14ac:dyDescent="0.25">
      <c r="A1779">
        <v>1778</v>
      </c>
      <c r="B1779" s="2">
        <v>43684</v>
      </c>
      <c r="C1779">
        <v>2</v>
      </c>
      <c r="D1779" s="1" t="s">
        <v>45</v>
      </c>
      <c r="E1779" s="1" t="s">
        <v>15</v>
      </c>
      <c r="F1779" s="1" t="s">
        <v>16</v>
      </c>
      <c r="G1779" s="1" t="s">
        <v>21</v>
      </c>
      <c r="H1779">
        <v>159</v>
      </c>
      <c r="I1779">
        <v>6</v>
      </c>
      <c r="J1779">
        <v>954</v>
      </c>
    </row>
    <row r="1780" spans="1:10" x14ac:dyDescent="0.25">
      <c r="A1780">
        <v>1779</v>
      </c>
      <c r="B1780" s="2">
        <v>43684</v>
      </c>
      <c r="C1780">
        <v>10</v>
      </c>
      <c r="D1780" s="1" t="s">
        <v>39</v>
      </c>
      <c r="E1780" s="1" t="s">
        <v>19</v>
      </c>
      <c r="F1780" s="1" t="s">
        <v>20</v>
      </c>
      <c r="G1780" s="1" t="s">
        <v>21</v>
      </c>
      <c r="H1780">
        <v>159</v>
      </c>
      <c r="I1780">
        <v>3</v>
      </c>
      <c r="J1780">
        <v>477</v>
      </c>
    </row>
    <row r="1781" spans="1:10" x14ac:dyDescent="0.25">
      <c r="A1781">
        <v>1780</v>
      </c>
      <c r="B1781" s="2">
        <v>43684</v>
      </c>
      <c r="C1781">
        <v>18</v>
      </c>
      <c r="D1781" s="1" t="s">
        <v>22</v>
      </c>
      <c r="E1781" s="1" t="s">
        <v>29</v>
      </c>
      <c r="F1781" s="1" t="s">
        <v>24</v>
      </c>
      <c r="G1781" s="1" t="s">
        <v>17</v>
      </c>
      <c r="H1781">
        <v>289</v>
      </c>
      <c r="I1781">
        <v>0</v>
      </c>
      <c r="J1781">
        <v>0</v>
      </c>
    </row>
    <row r="1782" spans="1:10" x14ac:dyDescent="0.25">
      <c r="A1782">
        <v>1781</v>
      </c>
      <c r="B1782" s="2">
        <v>43684</v>
      </c>
      <c r="C1782">
        <v>19</v>
      </c>
      <c r="D1782" s="1" t="s">
        <v>38</v>
      </c>
      <c r="E1782" s="1" t="s">
        <v>23</v>
      </c>
      <c r="F1782" s="1" t="s">
        <v>24</v>
      </c>
      <c r="G1782" s="1" t="s">
        <v>17</v>
      </c>
      <c r="H1782">
        <v>289</v>
      </c>
      <c r="I1782">
        <v>8</v>
      </c>
      <c r="J1782">
        <v>2312</v>
      </c>
    </row>
    <row r="1783" spans="1:10" x14ac:dyDescent="0.25">
      <c r="A1783">
        <v>1782</v>
      </c>
      <c r="B1783" s="2">
        <v>43685</v>
      </c>
      <c r="C1783">
        <v>13</v>
      </c>
      <c r="D1783" s="1" t="s">
        <v>27</v>
      </c>
      <c r="E1783" s="1" t="s">
        <v>11</v>
      </c>
      <c r="F1783" s="1" t="s">
        <v>12</v>
      </c>
      <c r="G1783" s="1" t="s">
        <v>13</v>
      </c>
      <c r="H1783">
        <v>199</v>
      </c>
      <c r="I1783">
        <v>3</v>
      </c>
      <c r="J1783">
        <v>597</v>
      </c>
    </row>
    <row r="1784" spans="1:10" x14ac:dyDescent="0.25">
      <c r="A1784">
        <v>1783</v>
      </c>
      <c r="B1784" s="2">
        <v>43685</v>
      </c>
      <c r="C1784">
        <v>5</v>
      </c>
      <c r="D1784" s="1" t="s">
        <v>40</v>
      </c>
      <c r="E1784" s="1" t="s">
        <v>15</v>
      </c>
      <c r="F1784" s="1" t="s">
        <v>16</v>
      </c>
      <c r="G1784" s="1" t="s">
        <v>32</v>
      </c>
      <c r="H1784">
        <v>399</v>
      </c>
      <c r="I1784">
        <v>1</v>
      </c>
      <c r="J1784">
        <v>399</v>
      </c>
    </row>
    <row r="1785" spans="1:10" x14ac:dyDescent="0.25">
      <c r="A1785">
        <v>1784</v>
      </c>
      <c r="B1785" s="2">
        <v>43685</v>
      </c>
      <c r="C1785">
        <v>14</v>
      </c>
      <c r="D1785" s="1" t="s">
        <v>30</v>
      </c>
      <c r="E1785" s="1" t="s">
        <v>11</v>
      </c>
      <c r="F1785" s="1" t="s">
        <v>12</v>
      </c>
      <c r="G1785" s="1" t="s">
        <v>21</v>
      </c>
      <c r="H1785">
        <v>159</v>
      </c>
      <c r="I1785">
        <v>1</v>
      </c>
      <c r="J1785">
        <v>159</v>
      </c>
    </row>
    <row r="1786" spans="1:10" x14ac:dyDescent="0.25">
      <c r="A1786">
        <v>1785</v>
      </c>
      <c r="B1786" s="2">
        <v>43685</v>
      </c>
      <c r="C1786">
        <v>9</v>
      </c>
      <c r="D1786" s="1" t="s">
        <v>18</v>
      </c>
      <c r="E1786" s="1" t="s">
        <v>35</v>
      </c>
      <c r="F1786" s="1" t="s">
        <v>20</v>
      </c>
      <c r="G1786" s="1" t="s">
        <v>26</v>
      </c>
      <c r="H1786">
        <v>69</v>
      </c>
      <c r="I1786">
        <v>0</v>
      </c>
      <c r="J1786">
        <v>0</v>
      </c>
    </row>
    <row r="1787" spans="1:10" x14ac:dyDescent="0.25">
      <c r="A1787">
        <v>1786</v>
      </c>
      <c r="B1787" s="2">
        <v>43685</v>
      </c>
      <c r="C1787">
        <v>15</v>
      </c>
      <c r="D1787" s="1" t="s">
        <v>46</v>
      </c>
      <c r="E1787" s="1" t="s">
        <v>11</v>
      </c>
      <c r="F1787" s="1" t="s">
        <v>12</v>
      </c>
      <c r="G1787" s="1" t="s">
        <v>32</v>
      </c>
      <c r="H1787">
        <v>399</v>
      </c>
      <c r="I1787">
        <v>2</v>
      </c>
      <c r="J1787">
        <v>798</v>
      </c>
    </row>
    <row r="1788" spans="1:10" x14ac:dyDescent="0.25">
      <c r="A1788">
        <v>1787</v>
      </c>
      <c r="B1788" s="2">
        <v>43686</v>
      </c>
      <c r="C1788">
        <v>15</v>
      </c>
      <c r="D1788" s="1" t="s">
        <v>46</v>
      </c>
      <c r="E1788" s="1" t="s">
        <v>41</v>
      </c>
      <c r="F1788" s="1" t="s">
        <v>12</v>
      </c>
      <c r="G1788" s="1" t="s">
        <v>17</v>
      </c>
      <c r="H1788">
        <v>289</v>
      </c>
      <c r="I1788">
        <v>8</v>
      </c>
      <c r="J1788">
        <v>2312</v>
      </c>
    </row>
    <row r="1789" spans="1:10" x14ac:dyDescent="0.25">
      <c r="A1789">
        <v>1788</v>
      </c>
      <c r="B1789" s="2">
        <v>43686</v>
      </c>
      <c r="C1789">
        <v>11</v>
      </c>
      <c r="D1789" s="1" t="s">
        <v>10</v>
      </c>
      <c r="E1789" s="1" t="s">
        <v>41</v>
      </c>
      <c r="F1789" s="1" t="s">
        <v>12</v>
      </c>
      <c r="G1789" s="1" t="s">
        <v>32</v>
      </c>
      <c r="H1789">
        <v>399</v>
      </c>
      <c r="I1789">
        <v>5</v>
      </c>
      <c r="J1789">
        <v>1995</v>
      </c>
    </row>
    <row r="1790" spans="1:10" x14ac:dyDescent="0.25">
      <c r="A1790">
        <v>1789</v>
      </c>
      <c r="B1790" s="2">
        <v>43687</v>
      </c>
      <c r="C1790">
        <v>4</v>
      </c>
      <c r="D1790" s="1" t="s">
        <v>37</v>
      </c>
      <c r="E1790" s="1" t="s">
        <v>43</v>
      </c>
      <c r="F1790" s="1" t="s">
        <v>16</v>
      </c>
      <c r="G1790" s="1" t="s">
        <v>13</v>
      </c>
      <c r="H1790">
        <v>199</v>
      </c>
      <c r="I1790">
        <v>9</v>
      </c>
      <c r="J1790">
        <v>1791</v>
      </c>
    </row>
    <row r="1791" spans="1:10" x14ac:dyDescent="0.25">
      <c r="A1791">
        <v>1790</v>
      </c>
      <c r="B1791" s="2">
        <v>43687</v>
      </c>
      <c r="C1791">
        <v>14</v>
      </c>
      <c r="D1791" s="1" t="s">
        <v>30</v>
      </c>
      <c r="E1791" s="1" t="s">
        <v>41</v>
      </c>
      <c r="F1791" s="1" t="s">
        <v>12</v>
      </c>
      <c r="G1791" s="1" t="s">
        <v>21</v>
      </c>
      <c r="H1791">
        <v>159</v>
      </c>
      <c r="I1791">
        <v>8</v>
      </c>
      <c r="J1791">
        <v>1272</v>
      </c>
    </row>
    <row r="1792" spans="1:10" x14ac:dyDescent="0.25">
      <c r="A1792">
        <v>1791</v>
      </c>
      <c r="B1792" s="2">
        <v>43688</v>
      </c>
      <c r="C1792">
        <v>17</v>
      </c>
      <c r="D1792" s="1" t="s">
        <v>28</v>
      </c>
      <c r="E1792" s="1" t="s">
        <v>23</v>
      </c>
      <c r="F1792" s="1" t="s">
        <v>24</v>
      </c>
      <c r="G1792" s="1" t="s">
        <v>32</v>
      </c>
      <c r="H1792">
        <v>399</v>
      </c>
      <c r="I1792">
        <v>8</v>
      </c>
      <c r="J1792">
        <v>3192</v>
      </c>
    </row>
    <row r="1793" spans="1:10" x14ac:dyDescent="0.25">
      <c r="A1793">
        <v>1792</v>
      </c>
      <c r="B1793" s="2">
        <v>43688</v>
      </c>
      <c r="C1793">
        <v>3</v>
      </c>
      <c r="D1793" s="1" t="s">
        <v>33</v>
      </c>
      <c r="E1793" s="1" t="s">
        <v>15</v>
      </c>
      <c r="F1793" s="1" t="s">
        <v>16</v>
      </c>
      <c r="G1793" s="1" t="s">
        <v>32</v>
      </c>
      <c r="H1793">
        <v>399</v>
      </c>
      <c r="I1793">
        <v>2</v>
      </c>
      <c r="J1793">
        <v>798</v>
      </c>
    </row>
    <row r="1794" spans="1:10" x14ac:dyDescent="0.25">
      <c r="A1794">
        <v>1793</v>
      </c>
      <c r="B1794" s="2">
        <v>43688</v>
      </c>
      <c r="C1794">
        <v>17</v>
      </c>
      <c r="D1794" s="1" t="s">
        <v>28</v>
      </c>
      <c r="E1794" s="1" t="s">
        <v>29</v>
      </c>
      <c r="F1794" s="1" t="s">
        <v>24</v>
      </c>
      <c r="G1794" s="1" t="s">
        <v>26</v>
      </c>
      <c r="H1794">
        <v>69</v>
      </c>
      <c r="I1794">
        <v>0</v>
      </c>
      <c r="J1794">
        <v>0</v>
      </c>
    </row>
    <row r="1795" spans="1:10" x14ac:dyDescent="0.25">
      <c r="A1795">
        <v>1794</v>
      </c>
      <c r="B1795" s="2">
        <v>43688</v>
      </c>
      <c r="C1795">
        <v>2</v>
      </c>
      <c r="D1795" s="1" t="s">
        <v>45</v>
      </c>
      <c r="E1795" s="1" t="s">
        <v>43</v>
      </c>
      <c r="F1795" s="1" t="s">
        <v>16</v>
      </c>
      <c r="G1795" s="1" t="s">
        <v>26</v>
      </c>
      <c r="H1795">
        <v>69</v>
      </c>
      <c r="I1795">
        <v>9</v>
      </c>
      <c r="J1795">
        <v>621</v>
      </c>
    </row>
    <row r="1796" spans="1:10" x14ac:dyDescent="0.25">
      <c r="A1796">
        <v>1795</v>
      </c>
      <c r="B1796" s="2">
        <v>43688</v>
      </c>
      <c r="C1796">
        <v>7</v>
      </c>
      <c r="D1796" s="1" t="s">
        <v>44</v>
      </c>
      <c r="E1796" s="1" t="s">
        <v>35</v>
      </c>
      <c r="F1796" s="1" t="s">
        <v>20</v>
      </c>
      <c r="G1796" s="1" t="s">
        <v>26</v>
      </c>
      <c r="H1796">
        <v>69</v>
      </c>
      <c r="I1796">
        <v>5</v>
      </c>
      <c r="J1796">
        <v>345</v>
      </c>
    </row>
    <row r="1797" spans="1:10" x14ac:dyDescent="0.25">
      <c r="A1797">
        <v>1796</v>
      </c>
      <c r="B1797" s="2">
        <v>43689</v>
      </c>
      <c r="C1797">
        <v>2</v>
      </c>
      <c r="D1797" s="1" t="s">
        <v>45</v>
      </c>
      <c r="E1797" s="1" t="s">
        <v>43</v>
      </c>
      <c r="F1797" s="1" t="s">
        <v>16</v>
      </c>
      <c r="G1797" s="1" t="s">
        <v>17</v>
      </c>
      <c r="H1797">
        <v>289</v>
      </c>
      <c r="I1797">
        <v>5</v>
      </c>
      <c r="J1797">
        <v>1445</v>
      </c>
    </row>
    <row r="1798" spans="1:10" x14ac:dyDescent="0.25">
      <c r="A1798">
        <v>1797</v>
      </c>
      <c r="B1798" s="2">
        <v>43689</v>
      </c>
      <c r="C1798">
        <v>10</v>
      </c>
      <c r="D1798" s="1" t="s">
        <v>39</v>
      </c>
      <c r="E1798" s="1" t="s">
        <v>19</v>
      </c>
      <c r="F1798" s="1" t="s">
        <v>20</v>
      </c>
      <c r="G1798" s="1" t="s">
        <v>13</v>
      </c>
      <c r="H1798">
        <v>199</v>
      </c>
      <c r="I1798">
        <v>2</v>
      </c>
      <c r="J1798">
        <v>398</v>
      </c>
    </row>
    <row r="1799" spans="1:10" x14ac:dyDescent="0.25">
      <c r="A1799">
        <v>1798</v>
      </c>
      <c r="B1799" s="2">
        <v>43689</v>
      </c>
      <c r="C1799">
        <v>13</v>
      </c>
      <c r="D1799" s="1" t="s">
        <v>27</v>
      </c>
      <c r="E1799" s="1" t="s">
        <v>41</v>
      </c>
      <c r="F1799" s="1" t="s">
        <v>12</v>
      </c>
      <c r="G1799" s="1" t="s">
        <v>17</v>
      </c>
      <c r="H1799">
        <v>289</v>
      </c>
      <c r="I1799">
        <v>4</v>
      </c>
      <c r="J1799">
        <v>1156</v>
      </c>
    </row>
    <row r="1800" spans="1:10" x14ac:dyDescent="0.25">
      <c r="A1800">
        <v>1799</v>
      </c>
      <c r="B1800" s="2">
        <v>43689</v>
      </c>
      <c r="C1800">
        <v>15</v>
      </c>
      <c r="D1800" s="1" t="s">
        <v>46</v>
      </c>
      <c r="E1800" s="1" t="s">
        <v>11</v>
      </c>
      <c r="F1800" s="1" t="s">
        <v>12</v>
      </c>
      <c r="G1800" s="1" t="s">
        <v>32</v>
      </c>
      <c r="H1800">
        <v>399</v>
      </c>
      <c r="I1800">
        <v>4</v>
      </c>
      <c r="J1800">
        <v>1596</v>
      </c>
    </row>
    <row r="1801" spans="1:10" x14ac:dyDescent="0.25">
      <c r="A1801">
        <v>1800</v>
      </c>
      <c r="B1801" s="2">
        <v>43689</v>
      </c>
      <c r="C1801">
        <v>9</v>
      </c>
      <c r="D1801" s="1" t="s">
        <v>18</v>
      </c>
      <c r="E1801" s="1" t="s">
        <v>19</v>
      </c>
      <c r="F1801" s="1" t="s">
        <v>20</v>
      </c>
      <c r="G1801" s="1" t="s">
        <v>13</v>
      </c>
      <c r="H1801">
        <v>199</v>
      </c>
      <c r="I1801">
        <v>8</v>
      </c>
      <c r="J1801">
        <v>1592</v>
      </c>
    </row>
    <row r="1802" spans="1:10" x14ac:dyDescent="0.25">
      <c r="A1802">
        <v>1801</v>
      </c>
      <c r="B1802" s="2">
        <v>43689</v>
      </c>
      <c r="C1802">
        <v>17</v>
      </c>
      <c r="D1802" s="1" t="s">
        <v>28</v>
      </c>
      <c r="E1802" s="1" t="s">
        <v>29</v>
      </c>
      <c r="F1802" s="1" t="s">
        <v>24</v>
      </c>
      <c r="G1802" s="1" t="s">
        <v>32</v>
      </c>
      <c r="H1802">
        <v>399</v>
      </c>
      <c r="I1802">
        <v>1</v>
      </c>
      <c r="J1802">
        <v>399</v>
      </c>
    </row>
    <row r="1803" spans="1:10" x14ac:dyDescent="0.25">
      <c r="A1803">
        <v>1802</v>
      </c>
      <c r="B1803" s="2">
        <v>43689</v>
      </c>
      <c r="C1803">
        <v>6</v>
      </c>
      <c r="D1803" s="1" t="s">
        <v>36</v>
      </c>
      <c r="E1803" s="1" t="s">
        <v>35</v>
      </c>
      <c r="F1803" s="1" t="s">
        <v>20</v>
      </c>
      <c r="G1803" s="1" t="s">
        <v>13</v>
      </c>
      <c r="H1803">
        <v>199</v>
      </c>
      <c r="I1803">
        <v>6</v>
      </c>
      <c r="J1803">
        <v>1194</v>
      </c>
    </row>
    <row r="1804" spans="1:10" x14ac:dyDescent="0.25">
      <c r="A1804">
        <v>1803</v>
      </c>
      <c r="B1804" s="2">
        <v>43689</v>
      </c>
      <c r="C1804">
        <v>18</v>
      </c>
      <c r="D1804" s="1" t="s">
        <v>22</v>
      </c>
      <c r="E1804" s="1" t="s">
        <v>23</v>
      </c>
      <c r="F1804" s="1" t="s">
        <v>24</v>
      </c>
      <c r="G1804" s="1" t="s">
        <v>32</v>
      </c>
      <c r="H1804">
        <v>399</v>
      </c>
      <c r="I1804">
        <v>5</v>
      </c>
      <c r="J1804">
        <v>1995</v>
      </c>
    </row>
    <row r="1805" spans="1:10" x14ac:dyDescent="0.25">
      <c r="A1805">
        <v>1804</v>
      </c>
      <c r="B1805" s="2">
        <v>43689</v>
      </c>
      <c r="C1805">
        <v>8</v>
      </c>
      <c r="D1805" s="1" t="s">
        <v>34</v>
      </c>
      <c r="E1805" s="1" t="s">
        <v>35</v>
      </c>
      <c r="F1805" s="1" t="s">
        <v>20</v>
      </c>
      <c r="G1805" s="1" t="s">
        <v>13</v>
      </c>
      <c r="H1805">
        <v>199</v>
      </c>
      <c r="I1805">
        <v>6</v>
      </c>
      <c r="J1805">
        <v>1194</v>
      </c>
    </row>
    <row r="1806" spans="1:10" x14ac:dyDescent="0.25">
      <c r="A1806">
        <v>1805</v>
      </c>
      <c r="B1806" s="2">
        <v>43689</v>
      </c>
      <c r="C1806">
        <v>13</v>
      </c>
      <c r="D1806" s="1" t="s">
        <v>27</v>
      </c>
      <c r="E1806" s="1" t="s">
        <v>41</v>
      </c>
      <c r="F1806" s="1" t="s">
        <v>12</v>
      </c>
      <c r="G1806" s="1" t="s">
        <v>21</v>
      </c>
      <c r="H1806">
        <v>159</v>
      </c>
      <c r="I1806">
        <v>3</v>
      </c>
      <c r="J1806">
        <v>477</v>
      </c>
    </row>
    <row r="1807" spans="1:10" x14ac:dyDescent="0.25">
      <c r="A1807">
        <v>1806</v>
      </c>
      <c r="B1807" s="2">
        <v>43689</v>
      </c>
      <c r="C1807">
        <v>17</v>
      </c>
      <c r="D1807" s="1" t="s">
        <v>28</v>
      </c>
      <c r="E1807" s="1" t="s">
        <v>29</v>
      </c>
      <c r="F1807" s="1" t="s">
        <v>24</v>
      </c>
      <c r="G1807" s="1" t="s">
        <v>26</v>
      </c>
      <c r="H1807">
        <v>69</v>
      </c>
      <c r="I1807">
        <v>7</v>
      </c>
      <c r="J1807">
        <v>483</v>
      </c>
    </row>
    <row r="1808" spans="1:10" x14ac:dyDescent="0.25">
      <c r="A1808">
        <v>1807</v>
      </c>
      <c r="B1808" s="2">
        <v>43689</v>
      </c>
      <c r="C1808">
        <v>4</v>
      </c>
      <c r="D1808" s="1" t="s">
        <v>37</v>
      </c>
      <c r="E1808" s="1" t="s">
        <v>43</v>
      </c>
      <c r="F1808" s="1" t="s">
        <v>16</v>
      </c>
      <c r="G1808" s="1" t="s">
        <v>26</v>
      </c>
      <c r="H1808">
        <v>69</v>
      </c>
      <c r="I1808">
        <v>3</v>
      </c>
      <c r="J1808">
        <v>207</v>
      </c>
    </row>
    <row r="1809" spans="1:10" x14ac:dyDescent="0.25">
      <c r="A1809">
        <v>1808</v>
      </c>
      <c r="B1809" s="2">
        <v>43690</v>
      </c>
      <c r="C1809">
        <v>9</v>
      </c>
      <c r="D1809" s="1" t="s">
        <v>18</v>
      </c>
      <c r="E1809" s="1" t="s">
        <v>35</v>
      </c>
      <c r="F1809" s="1" t="s">
        <v>20</v>
      </c>
      <c r="G1809" s="1" t="s">
        <v>13</v>
      </c>
      <c r="H1809">
        <v>199</v>
      </c>
      <c r="I1809">
        <v>3</v>
      </c>
      <c r="J1809">
        <v>597</v>
      </c>
    </row>
    <row r="1810" spans="1:10" x14ac:dyDescent="0.25">
      <c r="A1810">
        <v>1809</v>
      </c>
      <c r="B1810" s="2">
        <v>43691</v>
      </c>
      <c r="C1810">
        <v>8</v>
      </c>
      <c r="D1810" s="1" t="s">
        <v>34</v>
      </c>
      <c r="E1810" s="1" t="s">
        <v>19</v>
      </c>
      <c r="F1810" s="1" t="s">
        <v>20</v>
      </c>
      <c r="G1810" s="1" t="s">
        <v>26</v>
      </c>
      <c r="H1810">
        <v>69</v>
      </c>
      <c r="I1810">
        <v>5</v>
      </c>
      <c r="J1810">
        <v>345</v>
      </c>
    </row>
    <row r="1811" spans="1:10" x14ac:dyDescent="0.25">
      <c r="A1811">
        <v>1810</v>
      </c>
      <c r="B1811" s="2">
        <v>43691</v>
      </c>
      <c r="C1811">
        <v>3</v>
      </c>
      <c r="D1811" s="1" t="s">
        <v>33</v>
      </c>
      <c r="E1811" s="1" t="s">
        <v>43</v>
      </c>
      <c r="F1811" s="1" t="s">
        <v>16</v>
      </c>
      <c r="G1811" s="1" t="s">
        <v>17</v>
      </c>
      <c r="H1811">
        <v>289</v>
      </c>
      <c r="I1811">
        <v>3</v>
      </c>
      <c r="J1811">
        <v>867</v>
      </c>
    </row>
    <row r="1812" spans="1:10" x14ac:dyDescent="0.25">
      <c r="A1812">
        <v>1811</v>
      </c>
      <c r="B1812" s="2">
        <v>43692</v>
      </c>
      <c r="C1812">
        <v>15</v>
      </c>
      <c r="D1812" s="1" t="s">
        <v>46</v>
      </c>
      <c r="E1812" s="1" t="s">
        <v>41</v>
      </c>
      <c r="F1812" s="1" t="s">
        <v>12</v>
      </c>
      <c r="G1812" s="1" t="s">
        <v>26</v>
      </c>
      <c r="H1812">
        <v>69</v>
      </c>
      <c r="I1812">
        <v>4</v>
      </c>
      <c r="J1812">
        <v>276</v>
      </c>
    </row>
    <row r="1813" spans="1:10" x14ac:dyDescent="0.25">
      <c r="A1813">
        <v>1812</v>
      </c>
      <c r="B1813" s="2">
        <v>43692</v>
      </c>
      <c r="C1813">
        <v>11</v>
      </c>
      <c r="D1813" s="1" t="s">
        <v>10</v>
      </c>
      <c r="E1813" s="1" t="s">
        <v>41</v>
      </c>
      <c r="F1813" s="1" t="s">
        <v>12</v>
      </c>
      <c r="G1813" s="1" t="s">
        <v>26</v>
      </c>
      <c r="H1813">
        <v>69</v>
      </c>
      <c r="I1813">
        <v>8</v>
      </c>
      <c r="J1813">
        <v>552</v>
      </c>
    </row>
    <row r="1814" spans="1:10" x14ac:dyDescent="0.25">
      <c r="A1814">
        <v>1813</v>
      </c>
      <c r="B1814" s="2">
        <v>43692</v>
      </c>
      <c r="C1814">
        <v>6</v>
      </c>
      <c r="D1814" s="1" t="s">
        <v>36</v>
      </c>
      <c r="E1814" s="1" t="s">
        <v>19</v>
      </c>
      <c r="F1814" s="1" t="s">
        <v>20</v>
      </c>
      <c r="G1814" s="1" t="s">
        <v>21</v>
      </c>
      <c r="H1814">
        <v>159</v>
      </c>
      <c r="I1814">
        <v>6</v>
      </c>
      <c r="J1814">
        <v>954</v>
      </c>
    </row>
    <row r="1815" spans="1:10" x14ac:dyDescent="0.25">
      <c r="A1815">
        <v>1814</v>
      </c>
      <c r="B1815" s="2">
        <v>43692</v>
      </c>
      <c r="C1815">
        <v>9</v>
      </c>
      <c r="D1815" s="1" t="s">
        <v>18</v>
      </c>
      <c r="E1815" s="1" t="s">
        <v>19</v>
      </c>
      <c r="F1815" s="1" t="s">
        <v>20</v>
      </c>
      <c r="G1815" s="1" t="s">
        <v>21</v>
      </c>
      <c r="H1815">
        <v>159</v>
      </c>
      <c r="I1815">
        <v>6</v>
      </c>
      <c r="J1815">
        <v>954</v>
      </c>
    </row>
    <row r="1816" spans="1:10" x14ac:dyDescent="0.25">
      <c r="A1816">
        <v>1815</v>
      </c>
      <c r="B1816" s="2">
        <v>43693</v>
      </c>
      <c r="C1816">
        <v>5</v>
      </c>
      <c r="D1816" s="1" t="s">
        <v>40</v>
      </c>
      <c r="E1816" s="1" t="s">
        <v>43</v>
      </c>
      <c r="F1816" s="1" t="s">
        <v>16</v>
      </c>
      <c r="G1816" s="1" t="s">
        <v>13</v>
      </c>
      <c r="H1816">
        <v>199</v>
      </c>
      <c r="I1816">
        <v>2</v>
      </c>
      <c r="J1816">
        <v>398</v>
      </c>
    </row>
    <row r="1817" spans="1:10" x14ac:dyDescent="0.25">
      <c r="A1817">
        <v>1816</v>
      </c>
      <c r="B1817" s="2">
        <v>43694</v>
      </c>
      <c r="C1817">
        <v>10</v>
      </c>
      <c r="D1817" s="1" t="s">
        <v>39</v>
      </c>
      <c r="E1817" s="1" t="s">
        <v>19</v>
      </c>
      <c r="F1817" s="1" t="s">
        <v>20</v>
      </c>
      <c r="G1817" s="1" t="s">
        <v>21</v>
      </c>
      <c r="H1817">
        <v>159</v>
      </c>
      <c r="I1817">
        <v>9</v>
      </c>
      <c r="J1817">
        <v>1431</v>
      </c>
    </row>
    <row r="1818" spans="1:10" x14ac:dyDescent="0.25">
      <c r="A1818">
        <v>1817</v>
      </c>
      <c r="B1818" s="2">
        <v>43694</v>
      </c>
      <c r="C1818">
        <v>8</v>
      </c>
      <c r="D1818" s="1" t="s">
        <v>34</v>
      </c>
      <c r="E1818" s="1" t="s">
        <v>35</v>
      </c>
      <c r="F1818" s="1" t="s">
        <v>20</v>
      </c>
      <c r="G1818" s="1" t="s">
        <v>26</v>
      </c>
      <c r="H1818">
        <v>69</v>
      </c>
      <c r="I1818">
        <v>8</v>
      </c>
      <c r="J1818">
        <v>552</v>
      </c>
    </row>
    <row r="1819" spans="1:10" x14ac:dyDescent="0.25">
      <c r="A1819">
        <v>1818</v>
      </c>
      <c r="B1819" s="2">
        <v>43694</v>
      </c>
      <c r="C1819">
        <v>5</v>
      </c>
      <c r="D1819" s="1" t="s">
        <v>40</v>
      </c>
      <c r="E1819" s="1" t="s">
        <v>15</v>
      </c>
      <c r="F1819" s="1" t="s">
        <v>16</v>
      </c>
      <c r="G1819" s="1" t="s">
        <v>13</v>
      </c>
      <c r="H1819">
        <v>199</v>
      </c>
      <c r="I1819">
        <v>4</v>
      </c>
      <c r="J1819">
        <v>796</v>
      </c>
    </row>
    <row r="1820" spans="1:10" x14ac:dyDescent="0.25">
      <c r="A1820">
        <v>1819</v>
      </c>
      <c r="B1820" s="2">
        <v>43694</v>
      </c>
      <c r="C1820">
        <v>9</v>
      </c>
      <c r="D1820" s="1" t="s">
        <v>18</v>
      </c>
      <c r="E1820" s="1" t="s">
        <v>19</v>
      </c>
      <c r="F1820" s="1" t="s">
        <v>20</v>
      </c>
      <c r="G1820" s="1" t="s">
        <v>13</v>
      </c>
      <c r="H1820">
        <v>199</v>
      </c>
      <c r="I1820">
        <v>9</v>
      </c>
      <c r="J1820">
        <v>1791</v>
      </c>
    </row>
    <row r="1821" spans="1:10" x14ac:dyDescent="0.25">
      <c r="A1821">
        <v>1820</v>
      </c>
      <c r="B1821" s="2">
        <v>43694</v>
      </c>
      <c r="C1821">
        <v>2</v>
      </c>
      <c r="D1821" s="1" t="s">
        <v>45</v>
      </c>
      <c r="E1821" s="1" t="s">
        <v>15</v>
      </c>
      <c r="F1821" s="1" t="s">
        <v>16</v>
      </c>
      <c r="G1821" s="1" t="s">
        <v>26</v>
      </c>
      <c r="H1821">
        <v>69</v>
      </c>
      <c r="I1821">
        <v>9</v>
      </c>
      <c r="J1821">
        <v>621</v>
      </c>
    </row>
    <row r="1822" spans="1:10" x14ac:dyDescent="0.25">
      <c r="A1822">
        <v>1821</v>
      </c>
      <c r="B1822" s="2">
        <v>43694</v>
      </c>
      <c r="C1822">
        <v>7</v>
      </c>
      <c r="D1822" s="1" t="s">
        <v>44</v>
      </c>
      <c r="E1822" s="1" t="s">
        <v>35</v>
      </c>
      <c r="F1822" s="1" t="s">
        <v>20</v>
      </c>
      <c r="G1822" s="1" t="s">
        <v>13</v>
      </c>
      <c r="H1822">
        <v>199</v>
      </c>
      <c r="I1822">
        <v>6</v>
      </c>
      <c r="J1822">
        <v>1194</v>
      </c>
    </row>
    <row r="1823" spans="1:10" x14ac:dyDescent="0.25">
      <c r="A1823">
        <v>1822</v>
      </c>
      <c r="B1823" s="2">
        <v>43695</v>
      </c>
      <c r="C1823">
        <v>17</v>
      </c>
      <c r="D1823" s="1" t="s">
        <v>28</v>
      </c>
      <c r="E1823" s="1" t="s">
        <v>23</v>
      </c>
      <c r="F1823" s="1" t="s">
        <v>24</v>
      </c>
      <c r="G1823" s="1" t="s">
        <v>17</v>
      </c>
      <c r="H1823">
        <v>289</v>
      </c>
      <c r="I1823">
        <v>7</v>
      </c>
      <c r="J1823">
        <v>2023</v>
      </c>
    </row>
    <row r="1824" spans="1:10" x14ac:dyDescent="0.25">
      <c r="A1824">
        <v>1823</v>
      </c>
      <c r="B1824" s="2">
        <v>43695</v>
      </c>
      <c r="C1824">
        <v>9</v>
      </c>
      <c r="D1824" s="1" t="s">
        <v>18</v>
      </c>
      <c r="E1824" s="1" t="s">
        <v>19</v>
      </c>
      <c r="F1824" s="1" t="s">
        <v>20</v>
      </c>
      <c r="G1824" s="1" t="s">
        <v>13</v>
      </c>
      <c r="H1824">
        <v>199</v>
      </c>
      <c r="I1824">
        <v>3</v>
      </c>
      <c r="J1824">
        <v>597</v>
      </c>
    </row>
    <row r="1825" spans="1:10" x14ac:dyDescent="0.25">
      <c r="A1825">
        <v>1824</v>
      </c>
      <c r="B1825" s="2">
        <v>43695</v>
      </c>
      <c r="C1825">
        <v>15</v>
      </c>
      <c r="D1825" s="1" t="s">
        <v>46</v>
      </c>
      <c r="E1825" s="1" t="s">
        <v>11</v>
      </c>
      <c r="F1825" s="1" t="s">
        <v>12</v>
      </c>
      <c r="G1825" s="1" t="s">
        <v>21</v>
      </c>
      <c r="H1825">
        <v>159</v>
      </c>
      <c r="I1825">
        <v>3</v>
      </c>
      <c r="J1825">
        <v>477</v>
      </c>
    </row>
    <row r="1826" spans="1:10" x14ac:dyDescent="0.25">
      <c r="A1826">
        <v>1825</v>
      </c>
      <c r="B1826" s="2">
        <v>43696</v>
      </c>
      <c r="C1826">
        <v>11</v>
      </c>
      <c r="D1826" s="1" t="s">
        <v>10</v>
      </c>
      <c r="E1826" s="1" t="s">
        <v>11</v>
      </c>
      <c r="F1826" s="1" t="s">
        <v>12</v>
      </c>
      <c r="G1826" s="1" t="s">
        <v>13</v>
      </c>
      <c r="H1826">
        <v>199</v>
      </c>
      <c r="I1826">
        <v>5</v>
      </c>
      <c r="J1826">
        <v>995</v>
      </c>
    </row>
    <row r="1827" spans="1:10" x14ac:dyDescent="0.25">
      <c r="A1827">
        <v>1826</v>
      </c>
      <c r="B1827" s="2">
        <v>43696</v>
      </c>
      <c r="C1827">
        <v>18</v>
      </c>
      <c r="D1827" s="1" t="s">
        <v>22</v>
      </c>
      <c r="E1827" s="1" t="s">
        <v>29</v>
      </c>
      <c r="F1827" s="1" t="s">
        <v>24</v>
      </c>
      <c r="G1827" s="1" t="s">
        <v>17</v>
      </c>
      <c r="H1827">
        <v>289</v>
      </c>
      <c r="I1827">
        <v>4</v>
      </c>
      <c r="J1827">
        <v>1156</v>
      </c>
    </row>
    <row r="1828" spans="1:10" x14ac:dyDescent="0.25">
      <c r="A1828">
        <v>1827</v>
      </c>
      <c r="B1828" s="2">
        <v>43696</v>
      </c>
      <c r="C1828">
        <v>2</v>
      </c>
      <c r="D1828" s="1" t="s">
        <v>45</v>
      </c>
      <c r="E1828" s="1" t="s">
        <v>15</v>
      </c>
      <c r="F1828" s="1" t="s">
        <v>16</v>
      </c>
      <c r="G1828" s="1" t="s">
        <v>17</v>
      </c>
      <c r="H1828">
        <v>289</v>
      </c>
      <c r="I1828">
        <v>2</v>
      </c>
      <c r="J1828">
        <v>578</v>
      </c>
    </row>
    <row r="1829" spans="1:10" x14ac:dyDescent="0.25">
      <c r="A1829">
        <v>1828</v>
      </c>
      <c r="B1829" s="2">
        <v>43696</v>
      </c>
      <c r="C1829">
        <v>18</v>
      </c>
      <c r="D1829" s="1" t="s">
        <v>22</v>
      </c>
      <c r="E1829" s="1" t="s">
        <v>29</v>
      </c>
      <c r="F1829" s="1" t="s">
        <v>24</v>
      </c>
      <c r="G1829" s="1" t="s">
        <v>26</v>
      </c>
      <c r="H1829">
        <v>69</v>
      </c>
      <c r="I1829">
        <v>6</v>
      </c>
      <c r="J1829">
        <v>414</v>
      </c>
    </row>
    <row r="1830" spans="1:10" x14ac:dyDescent="0.25">
      <c r="A1830">
        <v>1829</v>
      </c>
      <c r="B1830" s="2">
        <v>43696</v>
      </c>
      <c r="C1830">
        <v>13</v>
      </c>
      <c r="D1830" s="1" t="s">
        <v>27</v>
      </c>
      <c r="E1830" s="1" t="s">
        <v>41</v>
      </c>
      <c r="F1830" s="1" t="s">
        <v>12</v>
      </c>
      <c r="G1830" s="1" t="s">
        <v>26</v>
      </c>
      <c r="H1830">
        <v>69</v>
      </c>
      <c r="I1830">
        <v>4</v>
      </c>
      <c r="J1830">
        <v>276</v>
      </c>
    </row>
    <row r="1831" spans="1:10" x14ac:dyDescent="0.25">
      <c r="A1831">
        <v>1830</v>
      </c>
      <c r="B1831" s="2">
        <v>43697</v>
      </c>
      <c r="C1831">
        <v>5</v>
      </c>
      <c r="D1831" s="1" t="s">
        <v>40</v>
      </c>
      <c r="E1831" s="1" t="s">
        <v>15</v>
      </c>
      <c r="F1831" s="1" t="s">
        <v>16</v>
      </c>
      <c r="G1831" s="1" t="s">
        <v>17</v>
      </c>
      <c r="H1831">
        <v>289</v>
      </c>
      <c r="I1831">
        <v>2</v>
      </c>
      <c r="J1831">
        <v>578</v>
      </c>
    </row>
    <row r="1832" spans="1:10" x14ac:dyDescent="0.25">
      <c r="A1832">
        <v>1831</v>
      </c>
      <c r="B1832" s="2">
        <v>43698</v>
      </c>
      <c r="C1832">
        <v>8</v>
      </c>
      <c r="D1832" s="1" t="s">
        <v>34</v>
      </c>
      <c r="E1832" s="1" t="s">
        <v>19</v>
      </c>
      <c r="F1832" s="1" t="s">
        <v>20</v>
      </c>
      <c r="G1832" s="1" t="s">
        <v>13</v>
      </c>
      <c r="H1832">
        <v>199</v>
      </c>
      <c r="I1832">
        <v>3</v>
      </c>
      <c r="J1832">
        <v>597</v>
      </c>
    </row>
    <row r="1833" spans="1:10" x14ac:dyDescent="0.25">
      <c r="A1833">
        <v>1832</v>
      </c>
      <c r="B1833" s="2">
        <v>43698</v>
      </c>
      <c r="C1833">
        <v>14</v>
      </c>
      <c r="D1833" s="1" t="s">
        <v>30</v>
      </c>
      <c r="E1833" s="1" t="s">
        <v>41</v>
      </c>
      <c r="F1833" s="1" t="s">
        <v>12</v>
      </c>
      <c r="G1833" s="1" t="s">
        <v>21</v>
      </c>
      <c r="H1833">
        <v>159</v>
      </c>
      <c r="I1833">
        <v>1</v>
      </c>
      <c r="J1833">
        <v>159</v>
      </c>
    </row>
    <row r="1834" spans="1:10" x14ac:dyDescent="0.25">
      <c r="A1834">
        <v>1833</v>
      </c>
      <c r="B1834" s="2">
        <v>43698</v>
      </c>
      <c r="C1834">
        <v>8</v>
      </c>
      <c r="D1834" s="1" t="s">
        <v>34</v>
      </c>
      <c r="E1834" s="1" t="s">
        <v>35</v>
      </c>
      <c r="F1834" s="1" t="s">
        <v>20</v>
      </c>
      <c r="G1834" s="1" t="s">
        <v>26</v>
      </c>
      <c r="H1834">
        <v>69</v>
      </c>
      <c r="I1834">
        <v>5</v>
      </c>
      <c r="J1834">
        <v>345</v>
      </c>
    </row>
    <row r="1835" spans="1:10" x14ac:dyDescent="0.25">
      <c r="A1835">
        <v>1834</v>
      </c>
      <c r="B1835" s="2">
        <v>43698</v>
      </c>
      <c r="C1835">
        <v>5</v>
      </c>
      <c r="D1835" s="1" t="s">
        <v>40</v>
      </c>
      <c r="E1835" s="1" t="s">
        <v>43</v>
      </c>
      <c r="F1835" s="1" t="s">
        <v>16</v>
      </c>
      <c r="G1835" s="1" t="s">
        <v>13</v>
      </c>
      <c r="H1835">
        <v>199</v>
      </c>
      <c r="I1835">
        <v>7</v>
      </c>
      <c r="J1835">
        <v>1393</v>
      </c>
    </row>
    <row r="1836" spans="1:10" x14ac:dyDescent="0.25">
      <c r="A1836">
        <v>1835</v>
      </c>
      <c r="B1836" s="2">
        <v>43698</v>
      </c>
      <c r="C1836">
        <v>5</v>
      </c>
      <c r="D1836" s="1" t="s">
        <v>40</v>
      </c>
      <c r="E1836" s="1" t="s">
        <v>43</v>
      </c>
      <c r="F1836" s="1" t="s">
        <v>16</v>
      </c>
      <c r="G1836" s="1" t="s">
        <v>17</v>
      </c>
      <c r="H1836">
        <v>289</v>
      </c>
      <c r="I1836">
        <v>3</v>
      </c>
      <c r="J1836">
        <v>867</v>
      </c>
    </row>
    <row r="1837" spans="1:10" x14ac:dyDescent="0.25">
      <c r="A1837">
        <v>1836</v>
      </c>
      <c r="B1837" s="2">
        <v>43698</v>
      </c>
      <c r="C1837">
        <v>9</v>
      </c>
      <c r="D1837" s="1" t="s">
        <v>18</v>
      </c>
      <c r="E1837" s="1" t="s">
        <v>35</v>
      </c>
      <c r="F1837" s="1" t="s">
        <v>20</v>
      </c>
      <c r="G1837" s="1" t="s">
        <v>13</v>
      </c>
      <c r="H1837">
        <v>199</v>
      </c>
      <c r="I1837">
        <v>5</v>
      </c>
      <c r="J1837">
        <v>995</v>
      </c>
    </row>
    <row r="1838" spans="1:10" x14ac:dyDescent="0.25">
      <c r="A1838">
        <v>1837</v>
      </c>
      <c r="B1838" s="2">
        <v>43699</v>
      </c>
      <c r="C1838">
        <v>6</v>
      </c>
      <c r="D1838" s="1" t="s">
        <v>36</v>
      </c>
      <c r="E1838" s="1" t="s">
        <v>19</v>
      </c>
      <c r="F1838" s="1" t="s">
        <v>20</v>
      </c>
      <c r="G1838" s="1" t="s">
        <v>26</v>
      </c>
      <c r="H1838">
        <v>69</v>
      </c>
      <c r="I1838">
        <v>3</v>
      </c>
      <c r="J1838">
        <v>207</v>
      </c>
    </row>
    <row r="1839" spans="1:10" x14ac:dyDescent="0.25">
      <c r="A1839">
        <v>1838</v>
      </c>
      <c r="B1839" s="2">
        <v>43699</v>
      </c>
      <c r="C1839">
        <v>20</v>
      </c>
      <c r="D1839" s="1" t="s">
        <v>31</v>
      </c>
      <c r="E1839" s="1" t="s">
        <v>29</v>
      </c>
      <c r="F1839" s="1" t="s">
        <v>24</v>
      </c>
      <c r="G1839" s="1" t="s">
        <v>32</v>
      </c>
      <c r="H1839">
        <v>399</v>
      </c>
      <c r="I1839">
        <v>9</v>
      </c>
      <c r="J1839">
        <v>3591</v>
      </c>
    </row>
    <row r="1840" spans="1:10" x14ac:dyDescent="0.25">
      <c r="A1840">
        <v>1839</v>
      </c>
      <c r="B1840" s="2">
        <v>43699</v>
      </c>
      <c r="C1840">
        <v>19</v>
      </c>
      <c r="D1840" s="1" t="s">
        <v>38</v>
      </c>
      <c r="E1840" s="1" t="s">
        <v>23</v>
      </c>
      <c r="F1840" s="1" t="s">
        <v>24</v>
      </c>
      <c r="G1840" s="1" t="s">
        <v>17</v>
      </c>
      <c r="H1840">
        <v>289</v>
      </c>
      <c r="I1840">
        <v>5</v>
      </c>
      <c r="J1840">
        <v>1445</v>
      </c>
    </row>
    <row r="1841" spans="1:10" x14ac:dyDescent="0.25">
      <c r="A1841">
        <v>1840</v>
      </c>
      <c r="B1841" s="2">
        <v>43699</v>
      </c>
      <c r="C1841">
        <v>17</v>
      </c>
      <c r="D1841" s="1" t="s">
        <v>28</v>
      </c>
      <c r="E1841" s="1" t="s">
        <v>29</v>
      </c>
      <c r="F1841" s="1" t="s">
        <v>24</v>
      </c>
      <c r="G1841" s="1" t="s">
        <v>13</v>
      </c>
      <c r="H1841">
        <v>199</v>
      </c>
      <c r="I1841">
        <v>5</v>
      </c>
      <c r="J1841">
        <v>995</v>
      </c>
    </row>
    <row r="1842" spans="1:10" x14ac:dyDescent="0.25">
      <c r="A1842">
        <v>1841</v>
      </c>
      <c r="B1842" s="2">
        <v>43699</v>
      </c>
      <c r="C1842">
        <v>3</v>
      </c>
      <c r="D1842" s="1" t="s">
        <v>33</v>
      </c>
      <c r="E1842" s="1" t="s">
        <v>43</v>
      </c>
      <c r="F1842" s="1" t="s">
        <v>16</v>
      </c>
      <c r="G1842" s="1" t="s">
        <v>13</v>
      </c>
      <c r="H1842">
        <v>199</v>
      </c>
      <c r="I1842">
        <v>4</v>
      </c>
      <c r="J1842">
        <v>796</v>
      </c>
    </row>
    <row r="1843" spans="1:10" x14ac:dyDescent="0.25">
      <c r="A1843">
        <v>1842</v>
      </c>
      <c r="B1843" s="2">
        <v>43699</v>
      </c>
      <c r="C1843">
        <v>2</v>
      </c>
      <c r="D1843" s="1" t="s">
        <v>45</v>
      </c>
      <c r="E1843" s="1" t="s">
        <v>15</v>
      </c>
      <c r="F1843" s="1" t="s">
        <v>16</v>
      </c>
      <c r="G1843" s="1" t="s">
        <v>21</v>
      </c>
      <c r="H1843">
        <v>159</v>
      </c>
      <c r="I1843">
        <v>3</v>
      </c>
      <c r="J1843">
        <v>477</v>
      </c>
    </row>
    <row r="1844" spans="1:10" x14ac:dyDescent="0.25">
      <c r="A1844">
        <v>1843</v>
      </c>
      <c r="B1844" s="2">
        <v>43699</v>
      </c>
      <c r="C1844">
        <v>20</v>
      </c>
      <c r="D1844" s="1" t="s">
        <v>31</v>
      </c>
      <c r="E1844" s="1" t="s">
        <v>23</v>
      </c>
      <c r="F1844" s="1" t="s">
        <v>24</v>
      </c>
      <c r="G1844" s="1" t="s">
        <v>13</v>
      </c>
      <c r="H1844">
        <v>199</v>
      </c>
      <c r="I1844">
        <v>1</v>
      </c>
      <c r="J1844">
        <v>199</v>
      </c>
    </row>
    <row r="1845" spans="1:10" x14ac:dyDescent="0.25">
      <c r="A1845">
        <v>1844</v>
      </c>
      <c r="B1845" s="2">
        <v>43699</v>
      </c>
      <c r="C1845">
        <v>5</v>
      </c>
      <c r="D1845" s="1" t="s">
        <v>40</v>
      </c>
      <c r="E1845" s="1" t="s">
        <v>15</v>
      </c>
      <c r="F1845" s="1" t="s">
        <v>16</v>
      </c>
      <c r="G1845" s="1" t="s">
        <v>13</v>
      </c>
      <c r="H1845">
        <v>199</v>
      </c>
      <c r="I1845">
        <v>4</v>
      </c>
      <c r="J1845">
        <v>796</v>
      </c>
    </row>
    <row r="1846" spans="1:10" x14ac:dyDescent="0.25">
      <c r="A1846">
        <v>1845</v>
      </c>
      <c r="B1846" s="2">
        <v>43699</v>
      </c>
      <c r="C1846">
        <v>5</v>
      </c>
      <c r="D1846" s="1" t="s">
        <v>40</v>
      </c>
      <c r="E1846" s="1" t="s">
        <v>43</v>
      </c>
      <c r="F1846" s="1" t="s">
        <v>16</v>
      </c>
      <c r="G1846" s="1" t="s">
        <v>21</v>
      </c>
      <c r="H1846">
        <v>159</v>
      </c>
      <c r="I1846">
        <v>2</v>
      </c>
      <c r="J1846">
        <v>318</v>
      </c>
    </row>
    <row r="1847" spans="1:10" x14ac:dyDescent="0.25">
      <c r="A1847">
        <v>1846</v>
      </c>
      <c r="B1847" s="2">
        <v>43700</v>
      </c>
      <c r="C1847">
        <v>7</v>
      </c>
      <c r="D1847" s="1" t="s">
        <v>44</v>
      </c>
      <c r="E1847" s="1" t="s">
        <v>19</v>
      </c>
      <c r="F1847" s="1" t="s">
        <v>20</v>
      </c>
      <c r="G1847" s="1" t="s">
        <v>21</v>
      </c>
      <c r="H1847">
        <v>159</v>
      </c>
      <c r="I1847">
        <v>1</v>
      </c>
      <c r="J1847">
        <v>159</v>
      </c>
    </row>
    <row r="1848" spans="1:10" x14ac:dyDescent="0.25">
      <c r="A1848">
        <v>1847</v>
      </c>
      <c r="B1848" s="2">
        <v>43700</v>
      </c>
      <c r="C1848">
        <v>2</v>
      </c>
      <c r="D1848" s="1" t="s">
        <v>45</v>
      </c>
      <c r="E1848" s="1" t="s">
        <v>15</v>
      </c>
      <c r="F1848" s="1" t="s">
        <v>16</v>
      </c>
      <c r="G1848" s="1" t="s">
        <v>21</v>
      </c>
      <c r="H1848">
        <v>159</v>
      </c>
      <c r="I1848">
        <v>6</v>
      </c>
      <c r="J1848">
        <v>954</v>
      </c>
    </row>
    <row r="1849" spans="1:10" x14ac:dyDescent="0.25">
      <c r="A1849">
        <v>1848</v>
      </c>
      <c r="B1849" s="2">
        <v>43701</v>
      </c>
      <c r="C1849">
        <v>1</v>
      </c>
      <c r="D1849" s="1" t="s">
        <v>14</v>
      </c>
      <c r="E1849" s="1" t="s">
        <v>43</v>
      </c>
      <c r="F1849" s="1" t="s">
        <v>16</v>
      </c>
      <c r="G1849" s="1" t="s">
        <v>26</v>
      </c>
      <c r="H1849">
        <v>69</v>
      </c>
      <c r="I1849">
        <v>5</v>
      </c>
      <c r="J1849">
        <v>345</v>
      </c>
    </row>
    <row r="1850" spans="1:10" x14ac:dyDescent="0.25">
      <c r="A1850">
        <v>1849</v>
      </c>
      <c r="B1850" s="2">
        <v>43701</v>
      </c>
      <c r="C1850">
        <v>4</v>
      </c>
      <c r="D1850" s="1" t="s">
        <v>37</v>
      </c>
      <c r="E1850" s="1" t="s">
        <v>15</v>
      </c>
      <c r="F1850" s="1" t="s">
        <v>16</v>
      </c>
      <c r="G1850" s="1" t="s">
        <v>32</v>
      </c>
      <c r="H1850">
        <v>399</v>
      </c>
      <c r="I1850">
        <v>7</v>
      </c>
      <c r="J1850">
        <v>2793</v>
      </c>
    </row>
    <row r="1851" spans="1:10" x14ac:dyDescent="0.25">
      <c r="A1851">
        <v>1850</v>
      </c>
      <c r="B1851" s="2">
        <v>43702</v>
      </c>
      <c r="C1851">
        <v>4</v>
      </c>
      <c r="D1851" s="1" t="s">
        <v>37</v>
      </c>
      <c r="E1851" s="1" t="s">
        <v>43</v>
      </c>
      <c r="F1851" s="1" t="s">
        <v>16</v>
      </c>
      <c r="G1851" s="1" t="s">
        <v>21</v>
      </c>
      <c r="H1851">
        <v>159</v>
      </c>
      <c r="I1851">
        <v>1</v>
      </c>
      <c r="J1851">
        <v>159</v>
      </c>
    </row>
    <row r="1852" spans="1:10" x14ac:dyDescent="0.25">
      <c r="A1852">
        <v>1851</v>
      </c>
      <c r="B1852" s="2">
        <v>43703</v>
      </c>
      <c r="C1852">
        <v>14</v>
      </c>
      <c r="D1852" s="1" t="s">
        <v>30</v>
      </c>
      <c r="E1852" s="1" t="s">
        <v>41</v>
      </c>
      <c r="F1852" s="1" t="s">
        <v>12</v>
      </c>
      <c r="G1852" s="1" t="s">
        <v>26</v>
      </c>
      <c r="H1852">
        <v>69</v>
      </c>
      <c r="I1852">
        <v>2</v>
      </c>
      <c r="J1852">
        <v>138</v>
      </c>
    </row>
    <row r="1853" spans="1:10" x14ac:dyDescent="0.25">
      <c r="A1853">
        <v>1852</v>
      </c>
      <c r="B1853" s="2">
        <v>43704</v>
      </c>
      <c r="C1853">
        <v>11</v>
      </c>
      <c r="D1853" s="1" t="s">
        <v>10</v>
      </c>
      <c r="E1853" s="1" t="s">
        <v>11</v>
      </c>
      <c r="F1853" s="1" t="s">
        <v>12</v>
      </c>
      <c r="G1853" s="1" t="s">
        <v>26</v>
      </c>
      <c r="H1853">
        <v>69</v>
      </c>
      <c r="I1853">
        <v>9</v>
      </c>
      <c r="J1853">
        <v>621</v>
      </c>
    </row>
    <row r="1854" spans="1:10" x14ac:dyDescent="0.25">
      <c r="A1854">
        <v>1853</v>
      </c>
      <c r="B1854" s="2">
        <v>43705</v>
      </c>
      <c r="C1854">
        <v>16</v>
      </c>
      <c r="D1854" s="1" t="s">
        <v>25</v>
      </c>
      <c r="E1854" s="1" t="s">
        <v>29</v>
      </c>
      <c r="F1854" s="1" t="s">
        <v>24</v>
      </c>
      <c r="G1854" s="1" t="s">
        <v>26</v>
      </c>
      <c r="H1854">
        <v>69</v>
      </c>
      <c r="I1854">
        <v>2</v>
      </c>
      <c r="J1854">
        <v>138</v>
      </c>
    </row>
    <row r="1855" spans="1:10" x14ac:dyDescent="0.25">
      <c r="A1855">
        <v>1854</v>
      </c>
      <c r="B1855" s="2">
        <v>43706</v>
      </c>
      <c r="C1855">
        <v>16</v>
      </c>
      <c r="D1855" s="1" t="s">
        <v>25</v>
      </c>
      <c r="E1855" s="1" t="s">
        <v>23</v>
      </c>
      <c r="F1855" s="1" t="s">
        <v>24</v>
      </c>
      <c r="G1855" s="1" t="s">
        <v>21</v>
      </c>
      <c r="H1855">
        <v>159</v>
      </c>
      <c r="I1855">
        <v>8</v>
      </c>
      <c r="J1855">
        <v>1272</v>
      </c>
    </row>
    <row r="1856" spans="1:10" x14ac:dyDescent="0.25">
      <c r="A1856">
        <v>1855</v>
      </c>
      <c r="B1856" s="2">
        <v>43706</v>
      </c>
      <c r="C1856">
        <v>4</v>
      </c>
      <c r="D1856" s="1" t="s">
        <v>37</v>
      </c>
      <c r="E1856" s="1" t="s">
        <v>43</v>
      </c>
      <c r="F1856" s="1" t="s">
        <v>16</v>
      </c>
      <c r="G1856" s="1" t="s">
        <v>21</v>
      </c>
      <c r="H1856">
        <v>159</v>
      </c>
      <c r="I1856">
        <v>0</v>
      </c>
      <c r="J1856">
        <v>0</v>
      </c>
    </row>
    <row r="1857" spans="1:10" x14ac:dyDescent="0.25">
      <c r="A1857">
        <v>1856</v>
      </c>
      <c r="B1857" s="2">
        <v>43707</v>
      </c>
      <c r="C1857">
        <v>19</v>
      </c>
      <c r="D1857" s="1" t="s">
        <v>38</v>
      </c>
      <c r="E1857" s="1" t="s">
        <v>29</v>
      </c>
      <c r="F1857" s="1" t="s">
        <v>24</v>
      </c>
      <c r="G1857" s="1" t="s">
        <v>21</v>
      </c>
      <c r="H1857">
        <v>159</v>
      </c>
      <c r="I1857">
        <v>7</v>
      </c>
      <c r="J1857">
        <v>1113</v>
      </c>
    </row>
    <row r="1858" spans="1:10" x14ac:dyDescent="0.25">
      <c r="A1858">
        <v>1857</v>
      </c>
      <c r="B1858" s="2">
        <v>43707</v>
      </c>
      <c r="C1858">
        <v>7</v>
      </c>
      <c r="D1858" s="1" t="s">
        <v>44</v>
      </c>
      <c r="E1858" s="1" t="s">
        <v>35</v>
      </c>
      <c r="F1858" s="1" t="s">
        <v>20</v>
      </c>
      <c r="G1858" s="1" t="s">
        <v>13</v>
      </c>
      <c r="H1858">
        <v>199</v>
      </c>
      <c r="I1858">
        <v>1</v>
      </c>
      <c r="J1858">
        <v>199</v>
      </c>
    </row>
    <row r="1859" spans="1:10" x14ac:dyDescent="0.25">
      <c r="A1859">
        <v>1858</v>
      </c>
      <c r="B1859" s="2">
        <v>43707</v>
      </c>
      <c r="C1859">
        <v>17</v>
      </c>
      <c r="D1859" s="1" t="s">
        <v>28</v>
      </c>
      <c r="E1859" s="1" t="s">
        <v>29</v>
      </c>
      <c r="F1859" s="1" t="s">
        <v>24</v>
      </c>
      <c r="G1859" s="1" t="s">
        <v>32</v>
      </c>
      <c r="H1859">
        <v>399</v>
      </c>
      <c r="I1859">
        <v>1</v>
      </c>
      <c r="J1859">
        <v>399</v>
      </c>
    </row>
    <row r="1860" spans="1:10" x14ac:dyDescent="0.25">
      <c r="A1860">
        <v>1859</v>
      </c>
      <c r="B1860" s="2">
        <v>43707</v>
      </c>
      <c r="C1860">
        <v>6</v>
      </c>
      <c r="D1860" s="1" t="s">
        <v>36</v>
      </c>
      <c r="E1860" s="1" t="s">
        <v>19</v>
      </c>
      <c r="F1860" s="1" t="s">
        <v>20</v>
      </c>
      <c r="G1860" s="1" t="s">
        <v>26</v>
      </c>
      <c r="H1860">
        <v>69</v>
      </c>
      <c r="I1860">
        <v>0</v>
      </c>
      <c r="J1860">
        <v>0</v>
      </c>
    </row>
    <row r="1861" spans="1:10" x14ac:dyDescent="0.25">
      <c r="A1861">
        <v>1860</v>
      </c>
      <c r="B1861" s="2">
        <v>43707</v>
      </c>
      <c r="C1861">
        <v>14</v>
      </c>
      <c r="D1861" s="1" t="s">
        <v>30</v>
      </c>
      <c r="E1861" s="1" t="s">
        <v>41</v>
      </c>
      <c r="F1861" s="1" t="s">
        <v>12</v>
      </c>
      <c r="G1861" s="1" t="s">
        <v>32</v>
      </c>
      <c r="H1861">
        <v>399</v>
      </c>
      <c r="I1861">
        <v>4</v>
      </c>
      <c r="J1861">
        <v>1596</v>
      </c>
    </row>
    <row r="1862" spans="1:10" x14ac:dyDescent="0.25">
      <c r="A1862">
        <v>1861</v>
      </c>
      <c r="B1862" s="2">
        <v>43707</v>
      </c>
      <c r="C1862">
        <v>20</v>
      </c>
      <c r="D1862" s="1" t="s">
        <v>31</v>
      </c>
      <c r="E1862" s="1" t="s">
        <v>23</v>
      </c>
      <c r="F1862" s="1" t="s">
        <v>24</v>
      </c>
      <c r="G1862" s="1" t="s">
        <v>32</v>
      </c>
      <c r="H1862">
        <v>399</v>
      </c>
      <c r="I1862">
        <v>8</v>
      </c>
      <c r="J1862">
        <v>3192</v>
      </c>
    </row>
    <row r="1863" spans="1:10" x14ac:dyDescent="0.25">
      <c r="A1863">
        <v>1862</v>
      </c>
      <c r="B1863" s="2">
        <v>43707</v>
      </c>
      <c r="C1863">
        <v>10</v>
      </c>
      <c r="D1863" s="1" t="s">
        <v>39</v>
      </c>
      <c r="E1863" s="1" t="s">
        <v>19</v>
      </c>
      <c r="F1863" s="1" t="s">
        <v>20</v>
      </c>
      <c r="G1863" s="1" t="s">
        <v>17</v>
      </c>
      <c r="H1863">
        <v>289</v>
      </c>
      <c r="I1863">
        <v>3</v>
      </c>
      <c r="J1863">
        <v>867</v>
      </c>
    </row>
    <row r="1864" spans="1:10" x14ac:dyDescent="0.25">
      <c r="A1864">
        <v>1863</v>
      </c>
      <c r="B1864" s="2">
        <v>43708</v>
      </c>
      <c r="C1864">
        <v>11</v>
      </c>
      <c r="D1864" s="1" t="s">
        <v>10</v>
      </c>
      <c r="E1864" s="1" t="s">
        <v>11</v>
      </c>
      <c r="F1864" s="1" t="s">
        <v>12</v>
      </c>
      <c r="G1864" s="1" t="s">
        <v>32</v>
      </c>
      <c r="H1864">
        <v>399</v>
      </c>
      <c r="I1864">
        <v>5</v>
      </c>
      <c r="J1864">
        <v>1995</v>
      </c>
    </row>
    <row r="1865" spans="1:10" x14ac:dyDescent="0.25">
      <c r="A1865">
        <v>1864</v>
      </c>
      <c r="B1865" s="2">
        <v>43709</v>
      </c>
      <c r="C1865">
        <v>16</v>
      </c>
      <c r="D1865" s="1" t="s">
        <v>25</v>
      </c>
      <c r="E1865" s="1" t="s">
        <v>23</v>
      </c>
      <c r="F1865" s="1" t="s">
        <v>24</v>
      </c>
      <c r="G1865" s="1" t="s">
        <v>17</v>
      </c>
      <c r="H1865">
        <v>289</v>
      </c>
      <c r="I1865">
        <v>3</v>
      </c>
      <c r="J1865">
        <v>867</v>
      </c>
    </row>
    <row r="1866" spans="1:10" x14ac:dyDescent="0.25">
      <c r="A1866">
        <v>1865</v>
      </c>
      <c r="B1866" s="2">
        <v>43709</v>
      </c>
      <c r="C1866">
        <v>11</v>
      </c>
      <c r="D1866" s="1" t="s">
        <v>10</v>
      </c>
      <c r="E1866" s="1" t="s">
        <v>41</v>
      </c>
      <c r="F1866" s="1" t="s">
        <v>12</v>
      </c>
      <c r="G1866" s="1" t="s">
        <v>32</v>
      </c>
      <c r="H1866">
        <v>399</v>
      </c>
      <c r="I1866">
        <v>4</v>
      </c>
      <c r="J1866">
        <v>1596</v>
      </c>
    </row>
    <row r="1867" spans="1:10" x14ac:dyDescent="0.25">
      <c r="A1867">
        <v>1866</v>
      </c>
      <c r="B1867" s="2">
        <v>43709</v>
      </c>
      <c r="C1867">
        <v>7</v>
      </c>
      <c r="D1867" s="1" t="s">
        <v>44</v>
      </c>
      <c r="E1867" s="1" t="s">
        <v>35</v>
      </c>
      <c r="F1867" s="1" t="s">
        <v>20</v>
      </c>
      <c r="G1867" s="1" t="s">
        <v>26</v>
      </c>
      <c r="H1867">
        <v>69</v>
      </c>
      <c r="I1867">
        <v>6</v>
      </c>
      <c r="J1867">
        <v>414</v>
      </c>
    </row>
    <row r="1868" spans="1:10" x14ac:dyDescent="0.25">
      <c r="A1868">
        <v>1867</v>
      </c>
      <c r="B1868" s="2">
        <v>43710</v>
      </c>
      <c r="C1868">
        <v>3</v>
      </c>
      <c r="D1868" s="1" t="s">
        <v>33</v>
      </c>
      <c r="E1868" s="1" t="s">
        <v>15</v>
      </c>
      <c r="F1868" s="1" t="s">
        <v>16</v>
      </c>
      <c r="G1868" s="1" t="s">
        <v>17</v>
      </c>
      <c r="H1868">
        <v>289</v>
      </c>
      <c r="I1868">
        <v>6</v>
      </c>
      <c r="J1868">
        <v>1734</v>
      </c>
    </row>
    <row r="1869" spans="1:10" x14ac:dyDescent="0.25">
      <c r="A1869">
        <v>1868</v>
      </c>
      <c r="B1869" s="2">
        <v>43710</v>
      </c>
      <c r="C1869">
        <v>15</v>
      </c>
      <c r="D1869" s="1" t="s">
        <v>46</v>
      </c>
      <c r="E1869" s="1" t="s">
        <v>11</v>
      </c>
      <c r="F1869" s="1" t="s">
        <v>12</v>
      </c>
      <c r="G1869" s="1" t="s">
        <v>13</v>
      </c>
      <c r="H1869">
        <v>199</v>
      </c>
      <c r="I1869">
        <v>5</v>
      </c>
      <c r="J1869">
        <v>995</v>
      </c>
    </row>
    <row r="1870" spans="1:10" x14ac:dyDescent="0.25">
      <c r="A1870">
        <v>1869</v>
      </c>
      <c r="B1870" s="2">
        <v>43711</v>
      </c>
      <c r="C1870">
        <v>7</v>
      </c>
      <c r="D1870" s="1" t="s">
        <v>44</v>
      </c>
      <c r="E1870" s="1" t="s">
        <v>19</v>
      </c>
      <c r="F1870" s="1" t="s">
        <v>20</v>
      </c>
      <c r="G1870" s="1" t="s">
        <v>32</v>
      </c>
      <c r="H1870">
        <v>399</v>
      </c>
      <c r="I1870">
        <v>1</v>
      </c>
      <c r="J1870">
        <v>399</v>
      </c>
    </row>
    <row r="1871" spans="1:10" x14ac:dyDescent="0.25">
      <c r="A1871">
        <v>1870</v>
      </c>
      <c r="B1871" s="2">
        <v>43712</v>
      </c>
      <c r="C1871">
        <v>19</v>
      </c>
      <c r="D1871" s="1" t="s">
        <v>38</v>
      </c>
      <c r="E1871" s="1" t="s">
        <v>29</v>
      </c>
      <c r="F1871" s="1" t="s">
        <v>24</v>
      </c>
      <c r="G1871" s="1" t="s">
        <v>32</v>
      </c>
      <c r="H1871">
        <v>399</v>
      </c>
      <c r="I1871">
        <v>9</v>
      </c>
      <c r="J1871">
        <v>3591</v>
      </c>
    </row>
    <row r="1872" spans="1:10" x14ac:dyDescent="0.25">
      <c r="A1872">
        <v>1871</v>
      </c>
      <c r="B1872" s="2">
        <v>43712</v>
      </c>
      <c r="C1872">
        <v>20</v>
      </c>
      <c r="D1872" s="1" t="s">
        <v>31</v>
      </c>
      <c r="E1872" s="1" t="s">
        <v>23</v>
      </c>
      <c r="F1872" s="1" t="s">
        <v>24</v>
      </c>
      <c r="G1872" s="1" t="s">
        <v>21</v>
      </c>
      <c r="H1872">
        <v>159</v>
      </c>
      <c r="I1872">
        <v>4</v>
      </c>
      <c r="J1872">
        <v>636</v>
      </c>
    </row>
    <row r="1873" spans="1:10" x14ac:dyDescent="0.25">
      <c r="A1873">
        <v>1872</v>
      </c>
      <c r="B1873" s="2">
        <v>43713</v>
      </c>
      <c r="C1873">
        <v>10</v>
      </c>
      <c r="D1873" s="1" t="s">
        <v>39</v>
      </c>
      <c r="E1873" s="1" t="s">
        <v>35</v>
      </c>
      <c r="F1873" s="1" t="s">
        <v>20</v>
      </c>
      <c r="G1873" s="1" t="s">
        <v>26</v>
      </c>
      <c r="H1873">
        <v>69</v>
      </c>
      <c r="I1873">
        <v>7</v>
      </c>
      <c r="J1873">
        <v>483</v>
      </c>
    </row>
    <row r="1874" spans="1:10" x14ac:dyDescent="0.25">
      <c r="A1874">
        <v>1873</v>
      </c>
      <c r="B1874" s="2">
        <v>43713</v>
      </c>
      <c r="C1874">
        <v>8</v>
      </c>
      <c r="D1874" s="1" t="s">
        <v>34</v>
      </c>
      <c r="E1874" s="1" t="s">
        <v>35</v>
      </c>
      <c r="F1874" s="1" t="s">
        <v>20</v>
      </c>
      <c r="G1874" s="1" t="s">
        <v>13</v>
      </c>
      <c r="H1874">
        <v>199</v>
      </c>
      <c r="I1874">
        <v>6</v>
      </c>
      <c r="J1874">
        <v>1194</v>
      </c>
    </row>
    <row r="1875" spans="1:10" x14ac:dyDescent="0.25">
      <c r="A1875">
        <v>1874</v>
      </c>
      <c r="B1875" s="2">
        <v>43714</v>
      </c>
      <c r="C1875">
        <v>9</v>
      </c>
      <c r="D1875" s="1" t="s">
        <v>18</v>
      </c>
      <c r="E1875" s="1" t="s">
        <v>19</v>
      </c>
      <c r="F1875" s="1" t="s">
        <v>20</v>
      </c>
      <c r="G1875" s="1" t="s">
        <v>17</v>
      </c>
      <c r="H1875">
        <v>289</v>
      </c>
      <c r="I1875">
        <v>2</v>
      </c>
      <c r="J1875">
        <v>578</v>
      </c>
    </row>
    <row r="1876" spans="1:10" x14ac:dyDescent="0.25">
      <c r="A1876">
        <v>1875</v>
      </c>
      <c r="B1876" s="2">
        <v>43714</v>
      </c>
      <c r="C1876">
        <v>3</v>
      </c>
      <c r="D1876" s="1" t="s">
        <v>33</v>
      </c>
      <c r="E1876" s="1" t="s">
        <v>43</v>
      </c>
      <c r="F1876" s="1" t="s">
        <v>16</v>
      </c>
      <c r="G1876" s="1" t="s">
        <v>21</v>
      </c>
      <c r="H1876">
        <v>159</v>
      </c>
      <c r="I1876">
        <v>9</v>
      </c>
      <c r="J1876">
        <v>1431</v>
      </c>
    </row>
    <row r="1877" spans="1:10" x14ac:dyDescent="0.25">
      <c r="A1877">
        <v>1876</v>
      </c>
      <c r="B1877" s="2">
        <v>43714</v>
      </c>
      <c r="C1877">
        <v>16</v>
      </c>
      <c r="D1877" s="1" t="s">
        <v>25</v>
      </c>
      <c r="E1877" s="1" t="s">
        <v>23</v>
      </c>
      <c r="F1877" s="1" t="s">
        <v>24</v>
      </c>
      <c r="G1877" s="1" t="s">
        <v>13</v>
      </c>
      <c r="H1877">
        <v>199</v>
      </c>
      <c r="I1877">
        <v>8</v>
      </c>
      <c r="J1877">
        <v>1592</v>
      </c>
    </row>
    <row r="1878" spans="1:10" x14ac:dyDescent="0.25">
      <c r="A1878">
        <v>1877</v>
      </c>
      <c r="B1878" s="2">
        <v>43714</v>
      </c>
      <c r="C1878">
        <v>1</v>
      </c>
      <c r="D1878" s="1" t="s">
        <v>14</v>
      </c>
      <c r="E1878" s="1" t="s">
        <v>15</v>
      </c>
      <c r="F1878" s="1" t="s">
        <v>16</v>
      </c>
      <c r="G1878" s="1" t="s">
        <v>32</v>
      </c>
      <c r="H1878">
        <v>399</v>
      </c>
      <c r="I1878">
        <v>3</v>
      </c>
      <c r="J1878">
        <v>1197</v>
      </c>
    </row>
    <row r="1879" spans="1:10" x14ac:dyDescent="0.25">
      <c r="A1879">
        <v>1878</v>
      </c>
      <c r="B1879" s="2">
        <v>43714</v>
      </c>
      <c r="C1879">
        <v>9</v>
      </c>
      <c r="D1879" s="1" t="s">
        <v>18</v>
      </c>
      <c r="E1879" s="1" t="s">
        <v>19</v>
      </c>
      <c r="F1879" s="1" t="s">
        <v>20</v>
      </c>
      <c r="G1879" s="1" t="s">
        <v>26</v>
      </c>
      <c r="H1879">
        <v>69</v>
      </c>
      <c r="I1879">
        <v>1</v>
      </c>
      <c r="J1879">
        <v>69</v>
      </c>
    </row>
    <row r="1880" spans="1:10" x14ac:dyDescent="0.25">
      <c r="A1880">
        <v>1879</v>
      </c>
      <c r="B1880" s="2">
        <v>43714</v>
      </c>
      <c r="C1880">
        <v>4</v>
      </c>
      <c r="D1880" s="1" t="s">
        <v>37</v>
      </c>
      <c r="E1880" s="1" t="s">
        <v>43</v>
      </c>
      <c r="F1880" s="1" t="s">
        <v>16</v>
      </c>
      <c r="G1880" s="1" t="s">
        <v>32</v>
      </c>
      <c r="H1880">
        <v>399</v>
      </c>
      <c r="I1880">
        <v>4</v>
      </c>
      <c r="J1880">
        <v>1596</v>
      </c>
    </row>
    <row r="1881" spans="1:10" x14ac:dyDescent="0.25">
      <c r="A1881">
        <v>1880</v>
      </c>
      <c r="B1881" s="2">
        <v>43714</v>
      </c>
      <c r="C1881">
        <v>11</v>
      </c>
      <c r="D1881" s="1" t="s">
        <v>10</v>
      </c>
      <c r="E1881" s="1" t="s">
        <v>11</v>
      </c>
      <c r="F1881" s="1" t="s">
        <v>12</v>
      </c>
      <c r="G1881" s="1" t="s">
        <v>21</v>
      </c>
      <c r="H1881">
        <v>159</v>
      </c>
      <c r="I1881">
        <v>3</v>
      </c>
      <c r="J1881">
        <v>477</v>
      </c>
    </row>
    <row r="1882" spans="1:10" x14ac:dyDescent="0.25">
      <c r="A1882">
        <v>1881</v>
      </c>
      <c r="B1882" s="2">
        <v>43715</v>
      </c>
      <c r="C1882">
        <v>9</v>
      </c>
      <c r="D1882" s="1" t="s">
        <v>18</v>
      </c>
      <c r="E1882" s="1" t="s">
        <v>19</v>
      </c>
      <c r="F1882" s="1" t="s">
        <v>20</v>
      </c>
      <c r="G1882" s="1" t="s">
        <v>26</v>
      </c>
      <c r="H1882">
        <v>69</v>
      </c>
      <c r="I1882">
        <v>8</v>
      </c>
      <c r="J1882">
        <v>552</v>
      </c>
    </row>
    <row r="1883" spans="1:10" x14ac:dyDescent="0.25">
      <c r="A1883">
        <v>1882</v>
      </c>
      <c r="B1883" s="2">
        <v>43715</v>
      </c>
      <c r="C1883">
        <v>2</v>
      </c>
      <c r="D1883" s="1" t="s">
        <v>45</v>
      </c>
      <c r="E1883" s="1" t="s">
        <v>15</v>
      </c>
      <c r="F1883" s="1" t="s">
        <v>16</v>
      </c>
      <c r="G1883" s="1" t="s">
        <v>13</v>
      </c>
      <c r="H1883">
        <v>199</v>
      </c>
      <c r="I1883">
        <v>1</v>
      </c>
      <c r="J1883">
        <v>199</v>
      </c>
    </row>
    <row r="1884" spans="1:10" x14ac:dyDescent="0.25">
      <c r="A1884">
        <v>1883</v>
      </c>
      <c r="B1884" s="2">
        <v>43716</v>
      </c>
      <c r="C1884">
        <v>8</v>
      </c>
      <c r="D1884" s="1" t="s">
        <v>34</v>
      </c>
      <c r="E1884" s="1" t="s">
        <v>35</v>
      </c>
      <c r="F1884" s="1" t="s">
        <v>20</v>
      </c>
      <c r="G1884" s="1" t="s">
        <v>26</v>
      </c>
      <c r="H1884">
        <v>69</v>
      </c>
      <c r="I1884">
        <v>4</v>
      </c>
      <c r="J1884">
        <v>276</v>
      </c>
    </row>
    <row r="1885" spans="1:10" x14ac:dyDescent="0.25">
      <c r="A1885">
        <v>1884</v>
      </c>
      <c r="B1885" s="2">
        <v>43716</v>
      </c>
      <c r="C1885">
        <v>13</v>
      </c>
      <c r="D1885" s="1" t="s">
        <v>27</v>
      </c>
      <c r="E1885" s="1" t="s">
        <v>11</v>
      </c>
      <c r="F1885" s="1" t="s">
        <v>12</v>
      </c>
      <c r="G1885" s="1" t="s">
        <v>32</v>
      </c>
      <c r="H1885">
        <v>399</v>
      </c>
      <c r="I1885">
        <v>4</v>
      </c>
      <c r="J1885">
        <v>1596</v>
      </c>
    </row>
    <row r="1886" spans="1:10" x14ac:dyDescent="0.25">
      <c r="A1886">
        <v>1885</v>
      </c>
      <c r="B1886" s="2">
        <v>43716</v>
      </c>
      <c r="C1886">
        <v>14</v>
      </c>
      <c r="D1886" s="1" t="s">
        <v>30</v>
      </c>
      <c r="E1886" s="1" t="s">
        <v>41</v>
      </c>
      <c r="F1886" s="1" t="s">
        <v>12</v>
      </c>
      <c r="G1886" s="1" t="s">
        <v>13</v>
      </c>
      <c r="H1886">
        <v>199</v>
      </c>
      <c r="I1886">
        <v>3</v>
      </c>
      <c r="J1886">
        <v>597</v>
      </c>
    </row>
    <row r="1887" spans="1:10" x14ac:dyDescent="0.25">
      <c r="A1887">
        <v>1886</v>
      </c>
      <c r="B1887" s="2">
        <v>43716</v>
      </c>
      <c r="C1887">
        <v>10</v>
      </c>
      <c r="D1887" s="1" t="s">
        <v>39</v>
      </c>
      <c r="E1887" s="1" t="s">
        <v>35</v>
      </c>
      <c r="F1887" s="1" t="s">
        <v>20</v>
      </c>
      <c r="G1887" s="1" t="s">
        <v>17</v>
      </c>
      <c r="H1887">
        <v>289</v>
      </c>
      <c r="I1887">
        <v>2</v>
      </c>
      <c r="J1887">
        <v>578</v>
      </c>
    </row>
    <row r="1888" spans="1:10" x14ac:dyDescent="0.25">
      <c r="A1888">
        <v>1887</v>
      </c>
      <c r="B1888" s="2">
        <v>43716</v>
      </c>
      <c r="C1888">
        <v>8</v>
      </c>
      <c r="D1888" s="1" t="s">
        <v>34</v>
      </c>
      <c r="E1888" s="1" t="s">
        <v>35</v>
      </c>
      <c r="F1888" s="1" t="s">
        <v>20</v>
      </c>
      <c r="G1888" s="1" t="s">
        <v>32</v>
      </c>
      <c r="H1888">
        <v>399</v>
      </c>
      <c r="I1888">
        <v>1</v>
      </c>
      <c r="J1888">
        <v>399</v>
      </c>
    </row>
    <row r="1889" spans="1:10" x14ac:dyDescent="0.25">
      <c r="A1889">
        <v>1888</v>
      </c>
      <c r="B1889" s="2">
        <v>43716</v>
      </c>
      <c r="C1889">
        <v>3</v>
      </c>
      <c r="D1889" s="1" t="s">
        <v>33</v>
      </c>
      <c r="E1889" s="1" t="s">
        <v>15</v>
      </c>
      <c r="F1889" s="1" t="s">
        <v>16</v>
      </c>
      <c r="G1889" s="1" t="s">
        <v>26</v>
      </c>
      <c r="H1889">
        <v>69</v>
      </c>
      <c r="I1889">
        <v>7</v>
      </c>
      <c r="J1889">
        <v>483</v>
      </c>
    </row>
    <row r="1890" spans="1:10" x14ac:dyDescent="0.25">
      <c r="A1890">
        <v>1889</v>
      </c>
      <c r="B1890" s="2">
        <v>43717</v>
      </c>
      <c r="C1890">
        <v>18</v>
      </c>
      <c r="D1890" s="1" t="s">
        <v>22</v>
      </c>
      <c r="E1890" s="1" t="s">
        <v>23</v>
      </c>
      <c r="F1890" s="1" t="s">
        <v>24</v>
      </c>
      <c r="G1890" s="1" t="s">
        <v>26</v>
      </c>
      <c r="H1890">
        <v>69</v>
      </c>
      <c r="I1890">
        <v>3</v>
      </c>
      <c r="J1890">
        <v>207</v>
      </c>
    </row>
    <row r="1891" spans="1:10" x14ac:dyDescent="0.25">
      <c r="A1891">
        <v>1890</v>
      </c>
      <c r="B1891" s="2">
        <v>43718</v>
      </c>
      <c r="C1891">
        <v>10</v>
      </c>
      <c r="D1891" s="1" t="s">
        <v>39</v>
      </c>
      <c r="E1891" s="1" t="s">
        <v>35</v>
      </c>
      <c r="F1891" s="1" t="s">
        <v>20</v>
      </c>
      <c r="G1891" s="1" t="s">
        <v>13</v>
      </c>
      <c r="H1891">
        <v>199</v>
      </c>
      <c r="I1891">
        <v>5</v>
      </c>
      <c r="J1891">
        <v>995</v>
      </c>
    </row>
    <row r="1892" spans="1:10" x14ac:dyDescent="0.25">
      <c r="A1892">
        <v>1891</v>
      </c>
      <c r="B1892" s="2">
        <v>43718</v>
      </c>
      <c r="C1892">
        <v>17</v>
      </c>
      <c r="D1892" s="1" t="s">
        <v>28</v>
      </c>
      <c r="E1892" s="1" t="s">
        <v>29</v>
      </c>
      <c r="F1892" s="1" t="s">
        <v>24</v>
      </c>
      <c r="G1892" s="1" t="s">
        <v>21</v>
      </c>
      <c r="H1892">
        <v>159</v>
      </c>
      <c r="I1892">
        <v>7</v>
      </c>
      <c r="J1892">
        <v>1113</v>
      </c>
    </row>
    <row r="1893" spans="1:10" x14ac:dyDescent="0.25">
      <c r="A1893">
        <v>1892</v>
      </c>
      <c r="B1893" s="2">
        <v>43719</v>
      </c>
      <c r="C1893">
        <v>5</v>
      </c>
      <c r="D1893" s="1" t="s">
        <v>40</v>
      </c>
      <c r="E1893" s="1" t="s">
        <v>15</v>
      </c>
      <c r="F1893" s="1" t="s">
        <v>16</v>
      </c>
      <c r="G1893" s="1" t="s">
        <v>32</v>
      </c>
      <c r="H1893">
        <v>399</v>
      </c>
      <c r="I1893">
        <v>9</v>
      </c>
      <c r="J1893">
        <v>3591</v>
      </c>
    </row>
    <row r="1894" spans="1:10" x14ac:dyDescent="0.25">
      <c r="A1894">
        <v>1893</v>
      </c>
      <c r="B1894" s="2">
        <v>43719</v>
      </c>
      <c r="C1894">
        <v>15</v>
      </c>
      <c r="D1894" s="1" t="s">
        <v>46</v>
      </c>
      <c r="E1894" s="1" t="s">
        <v>41</v>
      </c>
      <c r="F1894" s="1" t="s">
        <v>12</v>
      </c>
      <c r="G1894" s="1" t="s">
        <v>13</v>
      </c>
      <c r="H1894">
        <v>199</v>
      </c>
      <c r="I1894">
        <v>1</v>
      </c>
      <c r="J1894">
        <v>199</v>
      </c>
    </row>
    <row r="1895" spans="1:10" x14ac:dyDescent="0.25">
      <c r="A1895">
        <v>1894</v>
      </c>
      <c r="B1895" s="2">
        <v>43720</v>
      </c>
      <c r="C1895">
        <v>8</v>
      </c>
      <c r="D1895" s="1" t="s">
        <v>34</v>
      </c>
      <c r="E1895" s="1" t="s">
        <v>35</v>
      </c>
      <c r="F1895" s="1" t="s">
        <v>20</v>
      </c>
      <c r="G1895" s="1" t="s">
        <v>21</v>
      </c>
      <c r="H1895">
        <v>159</v>
      </c>
      <c r="I1895">
        <v>0</v>
      </c>
      <c r="J1895">
        <v>0</v>
      </c>
    </row>
    <row r="1896" spans="1:10" x14ac:dyDescent="0.25">
      <c r="A1896">
        <v>1895</v>
      </c>
      <c r="B1896" s="2">
        <v>43720</v>
      </c>
      <c r="C1896">
        <v>15</v>
      </c>
      <c r="D1896" s="1" t="s">
        <v>46</v>
      </c>
      <c r="E1896" s="1" t="s">
        <v>41</v>
      </c>
      <c r="F1896" s="1" t="s">
        <v>12</v>
      </c>
      <c r="G1896" s="1" t="s">
        <v>32</v>
      </c>
      <c r="H1896">
        <v>399</v>
      </c>
      <c r="I1896">
        <v>1</v>
      </c>
      <c r="J1896">
        <v>399</v>
      </c>
    </row>
    <row r="1897" spans="1:10" x14ac:dyDescent="0.25">
      <c r="A1897">
        <v>1896</v>
      </c>
      <c r="B1897" s="2">
        <v>43720</v>
      </c>
      <c r="C1897">
        <v>20</v>
      </c>
      <c r="D1897" s="1" t="s">
        <v>31</v>
      </c>
      <c r="E1897" s="1" t="s">
        <v>29</v>
      </c>
      <c r="F1897" s="1" t="s">
        <v>24</v>
      </c>
      <c r="G1897" s="1" t="s">
        <v>17</v>
      </c>
      <c r="H1897">
        <v>289</v>
      </c>
      <c r="I1897">
        <v>0</v>
      </c>
      <c r="J1897">
        <v>0</v>
      </c>
    </row>
    <row r="1898" spans="1:10" x14ac:dyDescent="0.25">
      <c r="A1898">
        <v>1897</v>
      </c>
      <c r="B1898" s="2">
        <v>43720</v>
      </c>
      <c r="C1898">
        <v>1</v>
      </c>
      <c r="D1898" s="1" t="s">
        <v>14</v>
      </c>
      <c r="E1898" s="1" t="s">
        <v>15</v>
      </c>
      <c r="F1898" s="1" t="s">
        <v>16</v>
      </c>
      <c r="G1898" s="1" t="s">
        <v>21</v>
      </c>
      <c r="H1898">
        <v>159</v>
      </c>
      <c r="I1898">
        <v>3</v>
      </c>
      <c r="J1898">
        <v>477</v>
      </c>
    </row>
    <row r="1899" spans="1:10" x14ac:dyDescent="0.25">
      <c r="A1899">
        <v>1898</v>
      </c>
      <c r="B1899" s="2">
        <v>43721</v>
      </c>
      <c r="C1899">
        <v>3</v>
      </c>
      <c r="D1899" s="1" t="s">
        <v>33</v>
      </c>
      <c r="E1899" s="1" t="s">
        <v>43</v>
      </c>
      <c r="F1899" s="1" t="s">
        <v>16</v>
      </c>
      <c r="G1899" s="1" t="s">
        <v>13</v>
      </c>
      <c r="H1899">
        <v>199</v>
      </c>
      <c r="I1899">
        <v>1</v>
      </c>
      <c r="J1899">
        <v>199</v>
      </c>
    </row>
    <row r="1900" spans="1:10" x14ac:dyDescent="0.25">
      <c r="A1900">
        <v>1899</v>
      </c>
      <c r="B1900" s="2">
        <v>43722</v>
      </c>
      <c r="C1900">
        <v>9</v>
      </c>
      <c r="D1900" s="1" t="s">
        <v>18</v>
      </c>
      <c r="E1900" s="1" t="s">
        <v>35</v>
      </c>
      <c r="F1900" s="1" t="s">
        <v>20</v>
      </c>
      <c r="G1900" s="1" t="s">
        <v>13</v>
      </c>
      <c r="H1900">
        <v>199</v>
      </c>
      <c r="I1900">
        <v>0</v>
      </c>
      <c r="J1900">
        <v>0</v>
      </c>
    </row>
    <row r="1901" spans="1:10" x14ac:dyDescent="0.25">
      <c r="A1901">
        <v>1900</v>
      </c>
      <c r="B1901" s="2">
        <v>43723</v>
      </c>
      <c r="C1901">
        <v>2</v>
      </c>
      <c r="D1901" s="1" t="s">
        <v>45</v>
      </c>
      <c r="E1901" s="1" t="s">
        <v>15</v>
      </c>
      <c r="F1901" s="1" t="s">
        <v>16</v>
      </c>
      <c r="G1901" s="1" t="s">
        <v>13</v>
      </c>
      <c r="H1901">
        <v>199</v>
      </c>
      <c r="I1901">
        <v>6</v>
      </c>
      <c r="J1901">
        <v>1194</v>
      </c>
    </row>
    <row r="1902" spans="1:10" x14ac:dyDescent="0.25">
      <c r="A1902">
        <v>1901</v>
      </c>
      <c r="B1902" s="2">
        <v>43724</v>
      </c>
      <c r="C1902">
        <v>18</v>
      </c>
      <c r="D1902" s="1" t="s">
        <v>22</v>
      </c>
      <c r="E1902" s="1" t="s">
        <v>29</v>
      </c>
      <c r="F1902" s="1" t="s">
        <v>24</v>
      </c>
      <c r="G1902" s="1" t="s">
        <v>32</v>
      </c>
      <c r="H1902">
        <v>399</v>
      </c>
      <c r="I1902">
        <v>3</v>
      </c>
      <c r="J1902">
        <v>1197</v>
      </c>
    </row>
    <row r="1903" spans="1:10" x14ac:dyDescent="0.25">
      <c r="A1903">
        <v>1902</v>
      </c>
      <c r="B1903" s="2">
        <v>43724</v>
      </c>
      <c r="C1903">
        <v>14</v>
      </c>
      <c r="D1903" s="1" t="s">
        <v>30</v>
      </c>
      <c r="E1903" s="1" t="s">
        <v>11</v>
      </c>
      <c r="F1903" s="1" t="s">
        <v>12</v>
      </c>
      <c r="G1903" s="1" t="s">
        <v>32</v>
      </c>
      <c r="H1903">
        <v>399</v>
      </c>
      <c r="I1903">
        <v>8</v>
      </c>
      <c r="J1903">
        <v>3192</v>
      </c>
    </row>
    <row r="1904" spans="1:10" x14ac:dyDescent="0.25">
      <c r="A1904">
        <v>1903</v>
      </c>
      <c r="B1904" s="2">
        <v>43724</v>
      </c>
      <c r="C1904">
        <v>15</v>
      </c>
      <c r="D1904" s="1" t="s">
        <v>46</v>
      </c>
      <c r="E1904" s="1" t="s">
        <v>41</v>
      </c>
      <c r="F1904" s="1" t="s">
        <v>12</v>
      </c>
      <c r="G1904" s="1" t="s">
        <v>32</v>
      </c>
      <c r="H1904">
        <v>399</v>
      </c>
      <c r="I1904">
        <v>0</v>
      </c>
      <c r="J1904">
        <v>0</v>
      </c>
    </row>
    <row r="1905" spans="1:10" x14ac:dyDescent="0.25">
      <c r="A1905">
        <v>1904</v>
      </c>
      <c r="B1905" s="2">
        <v>43725</v>
      </c>
      <c r="C1905">
        <v>15</v>
      </c>
      <c r="D1905" s="1" t="s">
        <v>46</v>
      </c>
      <c r="E1905" s="1" t="s">
        <v>41</v>
      </c>
      <c r="F1905" s="1" t="s">
        <v>12</v>
      </c>
      <c r="G1905" s="1" t="s">
        <v>32</v>
      </c>
      <c r="H1905">
        <v>399</v>
      </c>
      <c r="I1905">
        <v>2</v>
      </c>
      <c r="J1905">
        <v>798</v>
      </c>
    </row>
    <row r="1906" spans="1:10" x14ac:dyDescent="0.25">
      <c r="A1906">
        <v>1905</v>
      </c>
      <c r="B1906" s="2">
        <v>43725</v>
      </c>
      <c r="C1906">
        <v>14</v>
      </c>
      <c r="D1906" s="1" t="s">
        <v>30</v>
      </c>
      <c r="E1906" s="1" t="s">
        <v>41</v>
      </c>
      <c r="F1906" s="1" t="s">
        <v>12</v>
      </c>
      <c r="G1906" s="1" t="s">
        <v>26</v>
      </c>
      <c r="H1906">
        <v>69</v>
      </c>
      <c r="I1906">
        <v>5</v>
      </c>
      <c r="J1906">
        <v>345</v>
      </c>
    </row>
    <row r="1907" spans="1:10" x14ac:dyDescent="0.25">
      <c r="A1907">
        <v>1906</v>
      </c>
      <c r="B1907" s="2">
        <v>43725</v>
      </c>
      <c r="C1907">
        <v>16</v>
      </c>
      <c r="D1907" s="1" t="s">
        <v>25</v>
      </c>
      <c r="E1907" s="1" t="s">
        <v>29</v>
      </c>
      <c r="F1907" s="1" t="s">
        <v>24</v>
      </c>
      <c r="G1907" s="1" t="s">
        <v>26</v>
      </c>
      <c r="H1907">
        <v>69</v>
      </c>
      <c r="I1907">
        <v>8</v>
      </c>
      <c r="J1907">
        <v>552</v>
      </c>
    </row>
    <row r="1908" spans="1:10" x14ac:dyDescent="0.25">
      <c r="A1908">
        <v>1907</v>
      </c>
      <c r="B1908" s="2">
        <v>43725</v>
      </c>
      <c r="C1908">
        <v>1</v>
      </c>
      <c r="D1908" s="1" t="s">
        <v>14</v>
      </c>
      <c r="E1908" s="1" t="s">
        <v>15</v>
      </c>
      <c r="F1908" s="1" t="s">
        <v>16</v>
      </c>
      <c r="G1908" s="1" t="s">
        <v>26</v>
      </c>
      <c r="H1908">
        <v>69</v>
      </c>
      <c r="I1908">
        <v>2</v>
      </c>
      <c r="J1908">
        <v>138</v>
      </c>
    </row>
    <row r="1909" spans="1:10" x14ac:dyDescent="0.25">
      <c r="A1909">
        <v>1908</v>
      </c>
      <c r="B1909" s="2">
        <v>43726</v>
      </c>
      <c r="C1909">
        <v>20</v>
      </c>
      <c r="D1909" s="1" t="s">
        <v>31</v>
      </c>
      <c r="E1909" s="1" t="s">
        <v>29</v>
      </c>
      <c r="F1909" s="1" t="s">
        <v>24</v>
      </c>
      <c r="G1909" s="1" t="s">
        <v>13</v>
      </c>
      <c r="H1909">
        <v>199</v>
      </c>
      <c r="I1909">
        <v>7</v>
      </c>
      <c r="J1909">
        <v>1393</v>
      </c>
    </row>
    <row r="1910" spans="1:10" x14ac:dyDescent="0.25">
      <c r="A1910">
        <v>1909</v>
      </c>
      <c r="B1910" s="2">
        <v>43726</v>
      </c>
      <c r="C1910">
        <v>15</v>
      </c>
      <c r="D1910" s="1" t="s">
        <v>46</v>
      </c>
      <c r="E1910" s="1" t="s">
        <v>41</v>
      </c>
      <c r="F1910" s="1" t="s">
        <v>12</v>
      </c>
      <c r="G1910" s="1" t="s">
        <v>26</v>
      </c>
      <c r="H1910">
        <v>69</v>
      </c>
      <c r="I1910">
        <v>8</v>
      </c>
      <c r="J1910">
        <v>552</v>
      </c>
    </row>
    <row r="1911" spans="1:10" x14ac:dyDescent="0.25">
      <c r="A1911">
        <v>1910</v>
      </c>
      <c r="B1911" s="2">
        <v>43726</v>
      </c>
      <c r="C1911">
        <v>14</v>
      </c>
      <c r="D1911" s="1" t="s">
        <v>30</v>
      </c>
      <c r="E1911" s="1" t="s">
        <v>11</v>
      </c>
      <c r="F1911" s="1" t="s">
        <v>12</v>
      </c>
      <c r="G1911" s="1" t="s">
        <v>21</v>
      </c>
      <c r="H1911">
        <v>159</v>
      </c>
      <c r="I1911">
        <v>7</v>
      </c>
      <c r="J1911">
        <v>1113</v>
      </c>
    </row>
    <row r="1912" spans="1:10" x14ac:dyDescent="0.25">
      <c r="A1912">
        <v>1911</v>
      </c>
      <c r="B1912" s="2">
        <v>43726</v>
      </c>
      <c r="C1912">
        <v>1</v>
      </c>
      <c r="D1912" s="1" t="s">
        <v>14</v>
      </c>
      <c r="E1912" s="1" t="s">
        <v>43</v>
      </c>
      <c r="F1912" s="1" t="s">
        <v>16</v>
      </c>
      <c r="G1912" s="1" t="s">
        <v>32</v>
      </c>
      <c r="H1912">
        <v>399</v>
      </c>
      <c r="I1912">
        <v>6</v>
      </c>
      <c r="J1912">
        <v>2394</v>
      </c>
    </row>
    <row r="1913" spans="1:10" x14ac:dyDescent="0.25">
      <c r="A1913">
        <v>1912</v>
      </c>
      <c r="B1913" s="2">
        <v>43727</v>
      </c>
      <c r="C1913">
        <v>6</v>
      </c>
      <c r="D1913" s="1" t="s">
        <v>36</v>
      </c>
      <c r="E1913" s="1" t="s">
        <v>19</v>
      </c>
      <c r="F1913" s="1" t="s">
        <v>20</v>
      </c>
      <c r="G1913" s="1" t="s">
        <v>17</v>
      </c>
      <c r="H1913">
        <v>289</v>
      </c>
      <c r="I1913">
        <v>7</v>
      </c>
      <c r="J1913">
        <v>2023</v>
      </c>
    </row>
    <row r="1914" spans="1:10" x14ac:dyDescent="0.25">
      <c r="A1914">
        <v>1913</v>
      </c>
      <c r="B1914" s="2">
        <v>43727</v>
      </c>
      <c r="C1914">
        <v>16</v>
      </c>
      <c r="D1914" s="1" t="s">
        <v>25</v>
      </c>
      <c r="E1914" s="1" t="s">
        <v>23</v>
      </c>
      <c r="F1914" s="1" t="s">
        <v>24</v>
      </c>
      <c r="G1914" s="1" t="s">
        <v>26</v>
      </c>
      <c r="H1914">
        <v>69</v>
      </c>
      <c r="I1914">
        <v>5</v>
      </c>
      <c r="J1914">
        <v>345</v>
      </c>
    </row>
    <row r="1915" spans="1:10" x14ac:dyDescent="0.25">
      <c r="A1915">
        <v>1914</v>
      </c>
      <c r="B1915" s="2">
        <v>43727</v>
      </c>
      <c r="C1915">
        <v>9</v>
      </c>
      <c r="D1915" s="1" t="s">
        <v>18</v>
      </c>
      <c r="E1915" s="1" t="s">
        <v>35</v>
      </c>
      <c r="F1915" s="1" t="s">
        <v>20</v>
      </c>
      <c r="G1915" s="1" t="s">
        <v>26</v>
      </c>
      <c r="H1915">
        <v>69</v>
      </c>
      <c r="I1915">
        <v>0</v>
      </c>
      <c r="J1915">
        <v>0</v>
      </c>
    </row>
    <row r="1916" spans="1:10" x14ac:dyDescent="0.25">
      <c r="A1916">
        <v>1915</v>
      </c>
      <c r="B1916" s="2">
        <v>43727</v>
      </c>
      <c r="C1916">
        <v>11</v>
      </c>
      <c r="D1916" s="1" t="s">
        <v>10</v>
      </c>
      <c r="E1916" s="1" t="s">
        <v>11</v>
      </c>
      <c r="F1916" s="1" t="s">
        <v>12</v>
      </c>
      <c r="G1916" s="1" t="s">
        <v>13</v>
      </c>
      <c r="H1916">
        <v>199</v>
      </c>
      <c r="I1916">
        <v>9</v>
      </c>
      <c r="J1916">
        <v>1791</v>
      </c>
    </row>
    <row r="1917" spans="1:10" x14ac:dyDescent="0.25">
      <c r="A1917">
        <v>1916</v>
      </c>
      <c r="B1917" s="2">
        <v>43728</v>
      </c>
      <c r="C1917">
        <v>5</v>
      </c>
      <c r="D1917" s="1" t="s">
        <v>40</v>
      </c>
      <c r="E1917" s="1" t="s">
        <v>15</v>
      </c>
      <c r="F1917" s="1" t="s">
        <v>16</v>
      </c>
      <c r="G1917" s="1" t="s">
        <v>32</v>
      </c>
      <c r="H1917">
        <v>399</v>
      </c>
      <c r="I1917">
        <v>4</v>
      </c>
      <c r="J1917">
        <v>1596</v>
      </c>
    </row>
    <row r="1918" spans="1:10" x14ac:dyDescent="0.25">
      <c r="A1918">
        <v>1917</v>
      </c>
      <c r="B1918" s="2">
        <v>43728</v>
      </c>
      <c r="C1918">
        <v>4</v>
      </c>
      <c r="D1918" s="1" t="s">
        <v>37</v>
      </c>
      <c r="E1918" s="1" t="s">
        <v>15</v>
      </c>
      <c r="F1918" s="1" t="s">
        <v>16</v>
      </c>
      <c r="G1918" s="1" t="s">
        <v>17</v>
      </c>
      <c r="H1918">
        <v>289</v>
      </c>
      <c r="I1918">
        <v>8</v>
      </c>
      <c r="J1918">
        <v>2312</v>
      </c>
    </row>
    <row r="1919" spans="1:10" x14ac:dyDescent="0.25">
      <c r="A1919">
        <v>1918</v>
      </c>
      <c r="B1919" s="2">
        <v>43728</v>
      </c>
      <c r="C1919">
        <v>1</v>
      </c>
      <c r="D1919" s="1" t="s">
        <v>14</v>
      </c>
      <c r="E1919" s="1" t="s">
        <v>15</v>
      </c>
      <c r="F1919" s="1" t="s">
        <v>16</v>
      </c>
      <c r="G1919" s="1" t="s">
        <v>32</v>
      </c>
      <c r="H1919">
        <v>399</v>
      </c>
      <c r="I1919">
        <v>1</v>
      </c>
      <c r="J1919">
        <v>399</v>
      </c>
    </row>
    <row r="1920" spans="1:10" x14ac:dyDescent="0.25">
      <c r="A1920">
        <v>1919</v>
      </c>
      <c r="B1920" s="2">
        <v>43728</v>
      </c>
      <c r="C1920">
        <v>11</v>
      </c>
      <c r="D1920" s="1" t="s">
        <v>10</v>
      </c>
      <c r="E1920" s="1" t="s">
        <v>41</v>
      </c>
      <c r="F1920" s="1" t="s">
        <v>12</v>
      </c>
      <c r="G1920" s="1" t="s">
        <v>13</v>
      </c>
      <c r="H1920">
        <v>199</v>
      </c>
      <c r="I1920">
        <v>4</v>
      </c>
      <c r="J1920">
        <v>796</v>
      </c>
    </row>
    <row r="1921" spans="1:10" x14ac:dyDescent="0.25">
      <c r="A1921">
        <v>1920</v>
      </c>
      <c r="B1921" s="2">
        <v>43728</v>
      </c>
      <c r="C1921">
        <v>10</v>
      </c>
      <c r="D1921" s="1" t="s">
        <v>39</v>
      </c>
      <c r="E1921" s="1" t="s">
        <v>35</v>
      </c>
      <c r="F1921" s="1" t="s">
        <v>20</v>
      </c>
      <c r="G1921" s="1" t="s">
        <v>21</v>
      </c>
      <c r="H1921">
        <v>159</v>
      </c>
      <c r="I1921">
        <v>9</v>
      </c>
      <c r="J1921">
        <v>1431</v>
      </c>
    </row>
    <row r="1922" spans="1:10" x14ac:dyDescent="0.25">
      <c r="A1922">
        <v>1921</v>
      </c>
      <c r="B1922" s="2">
        <v>43728</v>
      </c>
      <c r="C1922">
        <v>17</v>
      </c>
      <c r="D1922" s="1" t="s">
        <v>28</v>
      </c>
      <c r="E1922" s="1" t="s">
        <v>23</v>
      </c>
      <c r="F1922" s="1" t="s">
        <v>24</v>
      </c>
      <c r="G1922" s="1" t="s">
        <v>32</v>
      </c>
      <c r="H1922">
        <v>399</v>
      </c>
      <c r="I1922">
        <v>1</v>
      </c>
      <c r="J1922">
        <v>399</v>
      </c>
    </row>
    <row r="1923" spans="1:10" x14ac:dyDescent="0.25">
      <c r="A1923">
        <v>1922</v>
      </c>
      <c r="B1923" s="2">
        <v>43728</v>
      </c>
      <c r="C1923">
        <v>8</v>
      </c>
      <c r="D1923" s="1" t="s">
        <v>34</v>
      </c>
      <c r="E1923" s="1" t="s">
        <v>19</v>
      </c>
      <c r="F1923" s="1" t="s">
        <v>20</v>
      </c>
      <c r="G1923" s="1" t="s">
        <v>32</v>
      </c>
      <c r="H1923">
        <v>399</v>
      </c>
      <c r="I1923">
        <v>3</v>
      </c>
      <c r="J1923">
        <v>1197</v>
      </c>
    </row>
    <row r="1924" spans="1:10" x14ac:dyDescent="0.25">
      <c r="A1924">
        <v>1923</v>
      </c>
      <c r="B1924" s="2">
        <v>43728</v>
      </c>
      <c r="C1924">
        <v>12</v>
      </c>
      <c r="D1924" s="1" t="s">
        <v>42</v>
      </c>
      <c r="E1924" s="1" t="s">
        <v>41</v>
      </c>
      <c r="F1924" s="1" t="s">
        <v>12</v>
      </c>
      <c r="G1924" s="1" t="s">
        <v>21</v>
      </c>
      <c r="H1924">
        <v>159</v>
      </c>
      <c r="I1924">
        <v>8</v>
      </c>
      <c r="J1924">
        <v>1272</v>
      </c>
    </row>
    <row r="1925" spans="1:10" x14ac:dyDescent="0.25">
      <c r="A1925">
        <v>1924</v>
      </c>
      <c r="B1925" s="2">
        <v>43728</v>
      </c>
      <c r="C1925">
        <v>6</v>
      </c>
      <c r="D1925" s="1" t="s">
        <v>36</v>
      </c>
      <c r="E1925" s="1" t="s">
        <v>19</v>
      </c>
      <c r="F1925" s="1" t="s">
        <v>20</v>
      </c>
      <c r="G1925" s="1" t="s">
        <v>13</v>
      </c>
      <c r="H1925">
        <v>199</v>
      </c>
      <c r="I1925">
        <v>0</v>
      </c>
      <c r="J1925">
        <v>0</v>
      </c>
    </row>
    <row r="1926" spans="1:10" x14ac:dyDescent="0.25">
      <c r="A1926">
        <v>1925</v>
      </c>
      <c r="B1926" s="2">
        <v>43729</v>
      </c>
      <c r="C1926">
        <v>19</v>
      </c>
      <c r="D1926" s="1" t="s">
        <v>38</v>
      </c>
      <c r="E1926" s="1" t="s">
        <v>23</v>
      </c>
      <c r="F1926" s="1" t="s">
        <v>24</v>
      </c>
      <c r="G1926" s="1" t="s">
        <v>17</v>
      </c>
      <c r="H1926">
        <v>289</v>
      </c>
      <c r="I1926">
        <v>1</v>
      </c>
      <c r="J1926">
        <v>289</v>
      </c>
    </row>
    <row r="1927" spans="1:10" x14ac:dyDescent="0.25">
      <c r="A1927">
        <v>1926</v>
      </c>
      <c r="B1927" s="2">
        <v>43730</v>
      </c>
      <c r="C1927">
        <v>1</v>
      </c>
      <c r="D1927" s="1" t="s">
        <v>14</v>
      </c>
      <c r="E1927" s="1" t="s">
        <v>15</v>
      </c>
      <c r="F1927" s="1" t="s">
        <v>16</v>
      </c>
      <c r="G1927" s="1" t="s">
        <v>13</v>
      </c>
      <c r="H1927">
        <v>199</v>
      </c>
      <c r="I1927">
        <v>3</v>
      </c>
      <c r="J1927">
        <v>597</v>
      </c>
    </row>
    <row r="1928" spans="1:10" x14ac:dyDescent="0.25">
      <c r="A1928">
        <v>1927</v>
      </c>
      <c r="B1928" s="2">
        <v>43730</v>
      </c>
      <c r="C1928">
        <v>6</v>
      </c>
      <c r="D1928" s="1" t="s">
        <v>36</v>
      </c>
      <c r="E1928" s="1" t="s">
        <v>35</v>
      </c>
      <c r="F1928" s="1" t="s">
        <v>20</v>
      </c>
      <c r="G1928" s="1" t="s">
        <v>17</v>
      </c>
      <c r="H1928">
        <v>289</v>
      </c>
      <c r="I1928">
        <v>2</v>
      </c>
      <c r="J1928">
        <v>578</v>
      </c>
    </row>
    <row r="1929" spans="1:10" x14ac:dyDescent="0.25">
      <c r="A1929">
        <v>1928</v>
      </c>
      <c r="B1929" s="2">
        <v>43730</v>
      </c>
      <c r="C1929">
        <v>13</v>
      </c>
      <c r="D1929" s="1" t="s">
        <v>27</v>
      </c>
      <c r="E1929" s="1" t="s">
        <v>41</v>
      </c>
      <c r="F1929" s="1" t="s">
        <v>12</v>
      </c>
      <c r="G1929" s="1" t="s">
        <v>32</v>
      </c>
      <c r="H1929">
        <v>399</v>
      </c>
      <c r="I1929">
        <v>6</v>
      </c>
      <c r="J1929">
        <v>2394</v>
      </c>
    </row>
    <row r="1930" spans="1:10" x14ac:dyDescent="0.25">
      <c r="A1930">
        <v>1929</v>
      </c>
      <c r="B1930" s="2">
        <v>43730</v>
      </c>
      <c r="C1930">
        <v>9</v>
      </c>
      <c r="D1930" s="1" t="s">
        <v>18</v>
      </c>
      <c r="E1930" s="1" t="s">
        <v>35</v>
      </c>
      <c r="F1930" s="1" t="s">
        <v>20</v>
      </c>
      <c r="G1930" s="1" t="s">
        <v>13</v>
      </c>
      <c r="H1930">
        <v>199</v>
      </c>
      <c r="I1930">
        <v>3</v>
      </c>
      <c r="J1930">
        <v>597</v>
      </c>
    </row>
    <row r="1931" spans="1:10" x14ac:dyDescent="0.25">
      <c r="A1931">
        <v>1930</v>
      </c>
      <c r="B1931" s="2">
        <v>43731</v>
      </c>
      <c r="C1931">
        <v>4</v>
      </c>
      <c r="D1931" s="1" t="s">
        <v>37</v>
      </c>
      <c r="E1931" s="1" t="s">
        <v>15</v>
      </c>
      <c r="F1931" s="1" t="s">
        <v>16</v>
      </c>
      <c r="G1931" s="1" t="s">
        <v>32</v>
      </c>
      <c r="H1931">
        <v>399</v>
      </c>
      <c r="I1931">
        <v>7</v>
      </c>
      <c r="J1931">
        <v>2793</v>
      </c>
    </row>
    <row r="1932" spans="1:10" x14ac:dyDescent="0.25">
      <c r="A1932">
        <v>1931</v>
      </c>
      <c r="B1932" s="2">
        <v>43731</v>
      </c>
      <c r="C1932">
        <v>2</v>
      </c>
      <c r="D1932" s="1" t="s">
        <v>45</v>
      </c>
      <c r="E1932" s="1" t="s">
        <v>15</v>
      </c>
      <c r="F1932" s="1" t="s">
        <v>16</v>
      </c>
      <c r="G1932" s="1" t="s">
        <v>32</v>
      </c>
      <c r="H1932">
        <v>399</v>
      </c>
      <c r="I1932">
        <v>0</v>
      </c>
      <c r="J1932">
        <v>0</v>
      </c>
    </row>
    <row r="1933" spans="1:10" x14ac:dyDescent="0.25">
      <c r="A1933">
        <v>1932</v>
      </c>
      <c r="B1933" s="2">
        <v>43732</v>
      </c>
      <c r="C1933">
        <v>7</v>
      </c>
      <c r="D1933" s="1" t="s">
        <v>44</v>
      </c>
      <c r="E1933" s="1" t="s">
        <v>19</v>
      </c>
      <c r="F1933" s="1" t="s">
        <v>20</v>
      </c>
      <c r="G1933" s="1" t="s">
        <v>21</v>
      </c>
      <c r="H1933">
        <v>159</v>
      </c>
      <c r="I1933">
        <v>5</v>
      </c>
      <c r="J1933">
        <v>795</v>
      </c>
    </row>
    <row r="1934" spans="1:10" x14ac:dyDescent="0.25">
      <c r="A1934">
        <v>1933</v>
      </c>
      <c r="B1934" s="2">
        <v>43732</v>
      </c>
      <c r="C1934">
        <v>2</v>
      </c>
      <c r="D1934" s="1" t="s">
        <v>45</v>
      </c>
      <c r="E1934" s="1" t="s">
        <v>43</v>
      </c>
      <c r="F1934" s="1" t="s">
        <v>16</v>
      </c>
      <c r="G1934" s="1" t="s">
        <v>21</v>
      </c>
      <c r="H1934">
        <v>159</v>
      </c>
      <c r="I1934">
        <v>7</v>
      </c>
      <c r="J1934">
        <v>1113</v>
      </c>
    </row>
    <row r="1935" spans="1:10" x14ac:dyDescent="0.25">
      <c r="A1935">
        <v>1934</v>
      </c>
      <c r="B1935" s="2">
        <v>43733</v>
      </c>
      <c r="C1935">
        <v>6</v>
      </c>
      <c r="D1935" s="1" t="s">
        <v>36</v>
      </c>
      <c r="E1935" s="1" t="s">
        <v>35</v>
      </c>
      <c r="F1935" s="1" t="s">
        <v>20</v>
      </c>
      <c r="G1935" s="1" t="s">
        <v>17</v>
      </c>
      <c r="H1935">
        <v>289</v>
      </c>
      <c r="I1935">
        <v>8</v>
      </c>
      <c r="J1935">
        <v>2312</v>
      </c>
    </row>
    <row r="1936" spans="1:10" x14ac:dyDescent="0.25">
      <c r="A1936">
        <v>1935</v>
      </c>
      <c r="B1936" s="2">
        <v>43733</v>
      </c>
      <c r="C1936">
        <v>12</v>
      </c>
      <c r="D1936" s="1" t="s">
        <v>42</v>
      </c>
      <c r="E1936" s="1" t="s">
        <v>11</v>
      </c>
      <c r="F1936" s="1" t="s">
        <v>12</v>
      </c>
      <c r="G1936" s="1" t="s">
        <v>17</v>
      </c>
      <c r="H1936">
        <v>289</v>
      </c>
      <c r="I1936">
        <v>5</v>
      </c>
      <c r="J1936">
        <v>1445</v>
      </c>
    </row>
    <row r="1937" spans="1:10" x14ac:dyDescent="0.25">
      <c r="A1937">
        <v>1936</v>
      </c>
      <c r="B1937" s="2">
        <v>43734</v>
      </c>
      <c r="C1937">
        <v>17</v>
      </c>
      <c r="D1937" s="1" t="s">
        <v>28</v>
      </c>
      <c r="E1937" s="1" t="s">
        <v>29</v>
      </c>
      <c r="F1937" s="1" t="s">
        <v>24</v>
      </c>
      <c r="G1937" s="1" t="s">
        <v>17</v>
      </c>
      <c r="H1937">
        <v>289</v>
      </c>
      <c r="I1937">
        <v>6</v>
      </c>
      <c r="J1937">
        <v>1734</v>
      </c>
    </row>
    <row r="1938" spans="1:10" x14ac:dyDescent="0.25">
      <c r="A1938">
        <v>1937</v>
      </c>
      <c r="B1938" s="2">
        <v>43735</v>
      </c>
      <c r="C1938">
        <v>15</v>
      </c>
      <c r="D1938" s="1" t="s">
        <v>46</v>
      </c>
      <c r="E1938" s="1" t="s">
        <v>11</v>
      </c>
      <c r="F1938" s="1" t="s">
        <v>12</v>
      </c>
      <c r="G1938" s="1" t="s">
        <v>17</v>
      </c>
      <c r="H1938">
        <v>289</v>
      </c>
      <c r="I1938">
        <v>2</v>
      </c>
      <c r="J1938">
        <v>578</v>
      </c>
    </row>
    <row r="1939" spans="1:10" x14ac:dyDescent="0.25">
      <c r="A1939">
        <v>1938</v>
      </c>
      <c r="B1939" s="2">
        <v>43735</v>
      </c>
      <c r="C1939">
        <v>13</v>
      </c>
      <c r="D1939" s="1" t="s">
        <v>27</v>
      </c>
      <c r="E1939" s="1" t="s">
        <v>41</v>
      </c>
      <c r="F1939" s="1" t="s">
        <v>12</v>
      </c>
      <c r="G1939" s="1" t="s">
        <v>17</v>
      </c>
      <c r="H1939">
        <v>289</v>
      </c>
      <c r="I1939">
        <v>5</v>
      </c>
      <c r="J1939">
        <v>1445</v>
      </c>
    </row>
    <row r="1940" spans="1:10" x14ac:dyDescent="0.25">
      <c r="A1940">
        <v>1939</v>
      </c>
      <c r="B1940" s="2">
        <v>43735</v>
      </c>
      <c r="C1940">
        <v>13</v>
      </c>
      <c r="D1940" s="1" t="s">
        <v>27</v>
      </c>
      <c r="E1940" s="1" t="s">
        <v>41</v>
      </c>
      <c r="F1940" s="1" t="s">
        <v>12</v>
      </c>
      <c r="G1940" s="1" t="s">
        <v>32</v>
      </c>
      <c r="H1940">
        <v>399</v>
      </c>
      <c r="I1940">
        <v>6</v>
      </c>
      <c r="J1940">
        <v>2394</v>
      </c>
    </row>
    <row r="1941" spans="1:10" x14ac:dyDescent="0.25">
      <c r="A1941">
        <v>1940</v>
      </c>
      <c r="B1941" s="2">
        <v>43736</v>
      </c>
      <c r="C1941">
        <v>12</v>
      </c>
      <c r="D1941" s="1" t="s">
        <v>42</v>
      </c>
      <c r="E1941" s="1" t="s">
        <v>11</v>
      </c>
      <c r="F1941" s="1" t="s">
        <v>12</v>
      </c>
      <c r="G1941" s="1" t="s">
        <v>21</v>
      </c>
      <c r="H1941">
        <v>159</v>
      </c>
      <c r="I1941">
        <v>1</v>
      </c>
      <c r="J1941">
        <v>159</v>
      </c>
    </row>
    <row r="1942" spans="1:10" x14ac:dyDescent="0.25">
      <c r="A1942">
        <v>1941</v>
      </c>
      <c r="B1942" s="2">
        <v>43736</v>
      </c>
      <c r="C1942">
        <v>11</v>
      </c>
      <c r="D1942" s="1" t="s">
        <v>10</v>
      </c>
      <c r="E1942" s="1" t="s">
        <v>41</v>
      </c>
      <c r="F1942" s="1" t="s">
        <v>12</v>
      </c>
      <c r="G1942" s="1" t="s">
        <v>26</v>
      </c>
      <c r="H1942">
        <v>69</v>
      </c>
      <c r="I1942">
        <v>3</v>
      </c>
      <c r="J1942">
        <v>207</v>
      </c>
    </row>
    <row r="1943" spans="1:10" x14ac:dyDescent="0.25">
      <c r="A1943">
        <v>1942</v>
      </c>
      <c r="B1943" s="2">
        <v>43736</v>
      </c>
      <c r="C1943">
        <v>4</v>
      </c>
      <c r="D1943" s="1" t="s">
        <v>37</v>
      </c>
      <c r="E1943" s="1" t="s">
        <v>15</v>
      </c>
      <c r="F1943" s="1" t="s">
        <v>16</v>
      </c>
      <c r="G1943" s="1" t="s">
        <v>13</v>
      </c>
      <c r="H1943">
        <v>199</v>
      </c>
      <c r="I1943">
        <v>0</v>
      </c>
      <c r="J1943">
        <v>0</v>
      </c>
    </row>
    <row r="1944" spans="1:10" x14ac:dyDescent="0.25">
      <c r="A1944">
        <v>1943</v>
      </c>
      <c r="B1944" s="2">
        <v>43737</v>
      </c>
      <c r="C1944">
        <v>18</v>
      </c>
      <c r="D1944" s="1" t="s">
        <v>22</v>
      </c>
      <c r="E1944" s="1" t="s">
        <v>23</v>
      </c>
      <c r="F1944" s="1" t="s">
        <v>24</v>
      </c>
      <c r="G1944" s="1" t="s">
        <v>26</v>
      </c>
      <c r="H1944">
        <v>69</v>
      </c>
      <c r="I1944">
        <v>3</v>
      </c>
      <c r="J1944">
        <v>207</v>
      </c>
    </row>
    <row r="1945" spans="1:10" x14ac:dyDescent="0.25">
      <c r="A1945">
        <v>1944</v>
      </c>
      <c r="B1945" s="2">
        <v>43737</v>
      </c>
      <c r="C1945">
        <v>12</v>
      </c>
      <c r="D1945" s="1" t="s">
        <v>42</v>
      </c>
      <c r="E1945" s="1" t="s">
        <v>41</v>
      </c>
      <c r="F1945" s="1" t="s">
        <v>12</v>
      </c>
      <c r="G1945" s="1" t="s">
        <v>13</v>
      </c>
      <c r="H1945">
        <v>199</v>
      </c>
      <c r="I1945">
        <v>2</v>
      </c>
      <c r="J1945">
        <v>398</v>
      </c>
    </row>
    <row r="1946" spans="1:10" x14ac:dyDescent="0.25">
      <c r="A1946">
        <v>1945</v>
      </c>
      <c r="B1946" s="2">
        <v>43737</v>
      </c>
      <c r="C1946">
        <v>19</v>
      </c>
      <c r="D1946" s="1" t="s">
        <v>38</v>
      </c>
      <c r="E1946" s="1" t="s">
        <v>23</v>
      </c>
      <c r="F1946" s="1" t="s">
        <v>24</v>
      </c>
      <c r="G1946" s="1" t="s">
        <v>17</v>
      </c>
      <c r="H1946">
        <v>289</v>
      </c>
      <c r="I1946">
        <v>0</v>
      </c>
      <c r="J1946">
        <v>0</v>
      </c>
    </row>
    <row r="1947" spans="1:10" x14ac:dyDescent="0.25">
      <c r="A1947">
        <v>1946</v>
      </c>
      <c r="B1947" s="2">
        <v>43737</v>
      </c>
      <c r="C1947">
        <v>16</v>
      </c>
      <c r="D1947" s="1" t="s">
        <v>25</v>
      </c>
      <c r="E1947" s="1" t="s">
        <v>29</v>
      </c>
      <c r="F1947" s="1" t="s">
        <v>24</v>
      </c>
      <c r="G1947" s="1" t="s">
        <v>13</v>
      </c>
      <c r="H1947">
        <v>199</v>
      </c>
      <c r="I1947">
        <v>4</v>
      </c>
      <c r="J1947">
        <v>796</v>
      </c>
    </row>
    <row r="1948" spans="1:10" x14ac:dyDescent="0.25">
      <c r="A1948">
        <v>1947</v>
      </c>
      <c r="B1948" s="2">
        <v>43737</v>
      </c>
      <c r="C1948">
        <v>19</v>
      </c>
      <c r="D1948" s="1" t="s">
        <v>38</v>
      </c>
      <c r="E1948" s="1" t="s">
        <v>29</v>
      </c>
      <c r="F1948" s="1" t="s">
        <v>24</v>
      </c>
      <c r="G1948" s="1" t="s">
        <v>13</v>
      </c>
      <c r="H1948">
        <v>199</v>
      </c>
      <c r="I1948">
        <v>2</v>
      </c>
      <c r="J1948">
        <v>398</v>
      </c>
    </row>
    <row r="1949" spans="1:10" x14ac:dyDescent="0.25">
      <c r="A1949">
        <v>1948</v>
      </c>
      <c r="B1949" s="2">
        <v>43737</v>
      </c>
      <c r="C1949">
        <v>1</v>
      </c>
      <c r="D1949" s="1" t="s">
        <v>14</v>
      </c>
      <c r="E1949" s="1" t="s">
        <v>15</v>
      </c>
      <c r="F1949" s="1" t="s">
        <v>16</v>
      </c>
      <c r="G1949" s="1" t="s">
        <v>17</v>
      </c>
      <c r="H1949">
        <v>289</v>
      </c>
      <c r="I1949">
        <v>8</v>
      </c>
      <c r="J1949">
        <v>2312</v>
      </c>
    </row>
    <row r="1950" spans="1:10" x14ac:dyDescent="0.25">
      <c r="A1950">
        <v>1949</v>
      </c>
      <c r="B1950" s="2">
        <v>43737</v>
      </c>
      <c r="C1950">
        <v>9</v>
      </c>
      <c r="D1950" s="1" t="s">
        <v>18</v>
      </c>
      <c r="E1950" s="1" t="s">
        <v>19</v>
      </c>
      <c r="F1950" s="1" t="s">
        <v>20</v>
      </c>
      <c r="G1950" s="1" t="s">
        <v>32</v>
      </c>
      <c r="H1950">
        <v>399</v>
      </c>
      <c r="I1950">
        <v>4</v>
      </c>
      <c r="J1950">
        <v>1596</v>
      </c>
    </row>
    <row r="1951" spans="1:10" x14ac:dyDescent="0.25">
      <c r="A1951">
        <v>1950</v>
      </c>
      <c r="B1951" s="2">
        <v>43738</v>
      </c>
      <c r="C1951">
        <v>9</v>
      </c>
      <c r="D1951" s="1" t="s">
        <v>18</v>
      </c>
      <c r="E1951" s="1" t="s">
        <v>35</v>
      </c>
      <c r="F1951" s="1" t="s">
        <v>20</v>
      </c>
      <c r="G1951" s="1" t="s">
        <v>26</v>
      </c>
      <c r="H1951">
        <v>69</v>
      </c>
      <c r="I1951">
        <v>7</v>
      </c>
      <c r="J1951">
        <v>483</v>
      </c>
    </row>
    <row r="1952" spans="1:10" x14ac:dyDescent="0.25">
      <c r="A1952">
        <v>1951</v>
      </c>
      <c r="B1952" s="2">
        <v>43739</v>
      </c>
      <c r="C1952">
        <v>20</v>
      </c>
      <c r="D1952" s="1" t="s">
        <v>31</v>
      </c>
      <c r="E1952" s="1" t="s">
        <v>23</v>
      </c>
      <c r="F1952" s="1" t="s">
        <v>24</v>
      </c>
      <c r="G1952" s="1" t="s">
        <v>21</v>
      </c>
      <c r="H1952">
        <v>159</v>
      </c>
      <c r="I1952">
        <v>1</v>
      </c>
      <c r="J1952">
        <v>159</v>
      </c>
    </row>
    <row r="1953" spans="1:10" x14ac:dyDescent="0.25">
      <c r="A1953">
        <v>1952</v>
      </c>
      <c r="B1953" s="2">
        <v>43739</v>
      </c>
      <c r="C1953">
        <v>8</v>
      </c>
      <c r="D1953" s="1" t="s">
        <v>34</v>
      </c>
      <c r="E1953" s="1" t="s">
        <v>19</v>
      </c>
      <c r="F1953" s="1" t="s">
        <v>20</v>
      </c>
      <c r="G1953" s="1" t="s">
        <v>17</v>
      </c>
      <c r="H1953">
        <v>289</v>
      </c>
      <c r="I1953">
        <v>5</v>
      </c>
      <c r="J1953">
        <v>1445</v>
      </c>
    </row>
    <row r="1954" spans="1:10" x14ac:dyDescent="0.25">
      <c r="A1954">
        <v>1953</v>
      </c>
      <c r="B1954" s="2">
        <v>43739</v>
      </c>
      <c r="C1954">
        <v>18</v>
      </c>
      <c r="D1954" s="1" t="s">
        <v>22</v>
      </c>
      <c r="E1954" s="1" t="s">
        <v>29</v>
      </c>
      <c r="F1954" s="1" t="s">
        <v>24</v>
      </c>
      <c r="G1954" s="1" t="s">
        <v>26</v>
      </c>
      <c r="H1954">
        <v>69</v>
      </c>
      <c r="I1954">
        <v>0</v>
      </c>
      <c r="J1954">
        <v>0</v>
      </c>
    </row>
    <row r="1955" spans="1:10" x14ac:dyDescent="0.25">
      <c r="A1955">
        <v>1954</v>
      </c>
      <c r="B1955" s="2">
        <v>43739</v>
      </c>
      <c r="C1955">
        <v>2</v>
      </c>
      <c r="D1955" s="1" t="s">
        <v>45</v>
      </c>
      <c r="E1955" s="1" t="s">
        <v>15</v>
      </c>
      <c r="F1955" s="1" t="s">
        <v>16</v>
      </c>
      <c r="G1955" s="1" t="s">
        <v>32</v>
      </c>
      <c r="H1955">
        <v>399</v>
      </c>
      <c r="I1955">
        <v>2</v>
      </c>
      <c r="J1955">
        <v>798</v>
      </c>
    </row>
    <row r="1956" spans="1:10" x14ac:dyDescent="0.25">
      <c r="A1956">
        <v>1955</v>
      </c>
      <c r="B1956" s="2">
        <v>43740</v>
      </c>
      <c r="C1956">
        <v>10</v>
      </c>
      <c r="D1956" s="1" t="s">
        <v>39</v>
      </c>
      <c r="E1956" s="1" t="s">
        <v>19</v>
      </c>
      <c r="F1956" s="1" t="s">
        <v>20</v>
      </c>
      <c r="G1956" s="1" t="s">
        <v>13</v>
      </c>
      <c r="H1956">
        <v>199</v>
      </c>
      <c r="I1956">
        <v>7</v>
      </c>
      <c r="J1956">
        <v>1393</v>
      </c>
    </row>
    <row r="1957" spans="1:10" x14ac:dyDescent="0.25">
      <c r="A1957">
        <v>1956</v>
      </c>
      <c r="B1957" s="2">
        <v>43740</v>
      </c>
      <c r="C1957">
        <v>13</v>
      </c>
      <c r="D1957" s="1" t="s">
        <v>27</v>
      </c>
      <c r="E1957" s="1" t="s">
        <v>41</v>
      </c>
      <c r="F1957" s="1" t="s">
        <v>12</v>
      </c>
      <c r="G1957" s="1" t="s">
        <v>21</v>
      </c>
      <c r="H1957">
        <v>159</v>
      </c>
      <c r="I1957">
        <v>5</v>
      </c>
      <c r="J1957">
        <v>795</v>
      </c>
    </row>
    <row r="1958" spans="1:10" x14ac:dyDescent="0.25">
      <c r="A1958">
        <v>1957</v>
      </c>
      <c r="B1958" s="2">
        <v>43740</v>
      </c>
      <c r="C1958">
        <v>17</v>
      </c>
      <c r="D1958" s="1" t="s">
        <v>28</v>
      </c>
      <c r="E1958" s="1" t="s">
        <v>23</v>
      </c>
      <c r="F1958" s="1" t="s">
        <v>24</v>
      </c>
      <c r="G1958" s="1" t="s">
        <v>17</v>
      </c>
      <c r="H1958">
        <v>289</v>
      </c>
      <c r="I1958">
        <v>6</v>
      </c>
      <c r="J1958">
        <v>1734</v>
      </c>
    </row>
    <row r="1959" spans="1:10" x14ac:dyDescent="0.25">
      <c r="A1959">
        <v>1958</v>
      </c>
      <c r="B1959" s="2">
        <v>43741</v>
      </c>
      <c r="C1959">
        <v>8</v>
      </c>
      <c r="D1959" s="1" t="s">
        <v>34</v>
      </c>
      <c r="E1959" s="1" t="s">
        <v>35</v>
      </c>
      <c r="F1959" s="1" t="s">
        <v>20</v>
      </c>
      <c r="G1959" s="1" t="s">
        <v>32</v>
      </c>
      <c r="H1959">
        <v>399</v>
      </c>
      <c r="I1959">
        <v>3</v>
      </c>
      <c r="J1959">
        <v>1197</v>
      </c>
    </row>
    <row r="1960" spans="1:10" x14ac:dyDescent="0.25">
      <c r="A1960">
        <v>1959</v>
      </c>
      <c r="B1960" s="2">
        <v>43741</v>
      </c>
      <c r="C1960">
        <v>12</v>
      </c>
      <c r="D1960" s="1" t="s">
        <v>42</v>
      </c>
      <c r="E1960" s="1" t="s">
        <v>11</v>
      </c>
      <c r="F1960" s="1" t="s">
        <v>12</v>
      </c>
      <c r="G1960" s="1" t="s">
        <v>26</v>
      </c>
      <c r="H1960">
        <v>69</v>
      </c>
      <c r="I1960">
        <v>7</v>
      </c>
      <c r="J1960">
        <v>483</v>
      </c>
    </row>
    <row r="1961" spans="1:10" x14ac:dyDescent="0.25">
      <c r="A1961">
        <v>1960</v>
      </c>
      <c r="B1961" s="2">
        <v>43742</v>
      </c>
      <c r="C1961">
        <v>19</v>
      </c>
      <c r="D1961" s="1" t="s">
        <v>38</v>
      </c>
      <c r="E1961" s="1" t="s">
        <v>29</v>
      </c>
      <c r="F1961" s="1" t="s">
        <v>24</v>
      </c>
      <c r="G1961" s="1" t="s">
        <v>21</v>
      </c>
      <c r="H1961">
        <v>159</v>
      </c>
      <c r="I1961">
        <v>3</v>
      </c>
      <c r="J1961">
        <v>477</v>
      </c>
    </row>
    <row r="1962" spans="1:10" x14ac:dyDescent="0.25">
      <c r="A1962">
        <v>1961</v>
      </c>
      <c r="B1962" s="2">
        <v>43742</v>
      </c>
      <c r="C1962">
        <v>9</v>
      </c>
      <c r="D1962" s="1" t="s">
        <v>18</v>
      </c>
      <c r="E1962" s="1" t="s">
        <v>19</v>
      </c>
      <c r="F1962" s="1" t="s">
        <v>20</v>
      </c>
      <c r="G1962" s="1" t="s">
        <v>17</v>
      </c>
      <c r="H1962">
        <v>289</v>
      </c>
      <c r="I1962">
        <v>8</v>
      </c>
      <c r="J1962">
        <v>2312</v>
      </c>
    </row>
    <row r="1963" spans="1:10" x14ac:dyDescent="0.25">
      <c r="A1963">
        <v>1962</v>
      </c>
      <c r="B1963" s="2">
        <v>43742</v>
      </c>
      <c r="C1963">
        <v>20</v>
      </c>
      <c r="D1963" s="1" t="s">
        <v>31</v>
      </c>
      <c r="E1963" s="1" t="s">
        <v>23</v>
      </c>
      <c r="F1963" s="1" t="s">
        <v>24</v>
      </c>
      <c r="G1963" s="1" t="s">
        <v>32</v>
      </c>
      <c r="H1963">
        <v>399</v>
      </c>
      <c r="I1963">
        <v>3</v>
      </c>
      <c r="J1963">
        <v>1197</v>
      </c>
    </row>
    <row r="1964" spans="1:10" x14ac:dyDescent="0.25">
      <c r="A1964">
        <v>1963</v>
      </c>
      <c r="B1964" s="2">
        <v>43743</v>
      </c>
      <c r="C1964">
        <v>20</v>
      </c>
      <c r="D1964" s="1" t="s">
        <v>31</v>
      </c>
      <c r="E1964" s="1" t="s">
        <v>29</v>
      </c>
      <c r="F1964" s="1" t="s">
        <v>24</v>
      </c>
      <c r="G1964" s="1" t="s">
        <v>17</v>
      </c>
      <c r="H1964">
        <v>289</v>
      </c>
      <c r="I1964">
        <v>1</v>
      </c>
      <c r="J1964">
        <v>289</v>
      </c>
    </row>
    <row r="1965" spans="1:10" x14ac:dyDescent="0.25">
      <c r="A1965">
        <v>1964</v>
      </c>
      <c r="B1965" s="2">
        <v>43743</v>
      </c>
      <c r="C1965">
        <v>4</v>
      </c>
      <c r="D1965" s="1" t="s">
        <v>37</v>
      </c>
      <c r="E1965" s="1" t="s">
        <v>15</v>
      </c>
      <c r="F1965" s="1" t="s">
        <v>16</v>
      </c>
      <c r="G1965" s="1" t="s">
        <v>17</v>
      </c>
      <c r="H1965">
        <v>289</v>
      </c>
      <c r="I1965">
        <v>3</v>
      </c>
      <c r="J1965">
        <v>867</v>
      </c>
    </row>
    <row r="1966" spans="1:10" x14ac:dyDescent="0.25">
      <c r="A1966">
        <v>1965</v>
      </c>
      <c r="B1966" s="2">
        <v>43743</v>
      </c>
      <c r="C1966">
        <v>4</v>
      </c>
      <c r="D1966" s="1" t="s">
        <v>37</v>
      </c>
      <c r="E1966" s="1" t="s">
        <v>43</v>
      </c>
      <c r="F1966" s="1" t="s">
        <v>16</v>
      </c>
      <c r="G1966" s="1" t="s">
        <v>13</v>
      </c>
      <c r="H1966">
        <v>199</v>
      </c>
      <c r="I1966">
        <v>2</v>
      </c>
      <c r="J1966">
        <v>398</v>
      </c>
    </row>
    <row r="1967" spans="1:10" x14ac:dyDescent="0.25">
      <c r="A1967">
        <v>1966</v>
      </c>
      <c r="B1967" s="2">
        <v>43743</v>
      </c>
      <c r="C1967">
        <v>15</v>
      </c>
      <c r="D1967" s="1" t="s">
        <v>46</v>
      </c>
      <c r="E1967" s="1" t="s">
        <v>11</v>
      </c>
      <c r="F1967" s="1" t="s">
        <v>12</v>
      </c>
      <c r="G1967" s="1" t="s">
        <v>32</v>
      </c>
      <c r="H1967">
        <v>399</v>
      </c>
      <c r="I1967">
        <v>0</v>
      </c>
      <c r="J1967">
        <v>0</v>
      </c>
    </row>
    <row r="1968" spans="1:10" x14ac:dyDescent="0.25">
      <c r="A1968">
        <v>1967</v>
      </c>
      <c r="B1968" s="2">
        <v>43743</v>
      </c>
      <c r="C1968">
        <v>20</v>
      </c>
      <c r="D1968" s="1" t="s">
        <v>31</v>
      </c>
      <c r="E1968" s="1" t="s">
        <v>29</v>
      </c>
      <c r="F1968" s="1" t="s">
        <v>24</v>
      </c>
      <c r="G1968" s="1" t="s">
        <v>32</v>
      </c>
      <c r="H1968">
        <v>399</v>
      </c>
      <c r="I1968">
        <v>9</v>
      </c>
      <c r="J1968">
        <v>3591</v>
      </c>
    </row>
    <row r="1969" spans="1:10" x14ac:dyDescent="0.25">
      <c r="A1969">
        <v>1968</v>
      </c>
      <c r="B1969" s="2">
        <v>43743</v>
      </c>
      <c r="C1969">
        <v>1</v>
      </c>
      <c r="D1969" s="1" t="s">
        <v>14</v>
      </c>
      <c r="E1969" s="1" t="s">
        <v>43</v>
      </c>
      <c r="F1969" s="1" t="s">
        <v>16</v>
      </c>
      <c r="G1969" s="1" t="s">
        <v>26</v>
      </c>
      <c r="H1969">
        <v>69</v>
      </c>
      <c r="I1969">
        <v>2</v>
      </c>
      <c r="J1969">
        <v>138</v>
      </c>
    </row>
    <row r="1970" spans="1:10" x14ac:dyDescent="0.25">
      <c r="A1970">
        <v>1969</v>
      </c>
      <c r="B1970" s="2">
        <v>43743</v>
      </c>
      <c r="C1970">
        <v>3</v>
      </c>
      <c r="D1970" s="1" t="s">
        <v>33</v>
      </c>
      <c r="E1970" s="1" t="s">
        <v>43</v>
      </c>
      <c r="F1970" s="1" t="s">
        <v>16</v>
      </c>
      <c r="G1970" s="1" t="s">
        <v>13</v>
      </c>
      <c r="H1970">
        <v>199</v>
      </c>
      <c r="I1970">
        <v>1</v>
      </c>
      <c r="J1970">
        <v>199</v>
      </c>
    </row>
    <row r="1971" spans="1:10" x14ac:dyDescent="0.25">
      <c r="A1971">
        <v>1970</v>
      </c>
      <c r="B1971" s="2">
        <v>43743</v>
      </c>
      <c r="C1971">
        <v>11</v>
      </c>
      <c r="D1971" s="1" t="s">
        <v>10</v>
      </c>
      <c r="E1971" s="1" t="s">
        <v>41</v>
      </c>
      <c r="F1971" s="1" t="s">
        <v>12</v>
      </c>
      <c r="G1971" s="1" t="s">
        <v>32</v>
      </c>
      <c r="H1971">
        <v>399</v>
      </c>
      <c r="I1971">
        <v>2</v>
      </c>
      <c r="J1971">
        <v>798</v>
      </c>
    </row>
    <row r="1972" spans="1:10" x14ac:dyDescent="0.25">
      <c r="A1972">
        <v>1971</v>
      </c>
      <c r="B1972" s="2">
        <v>43743</v>
      </c>
      <c r="C1972">
        <v>17</v>
      </c>
      <c r="D1972" s="1" t="s">
        <v>28</v>
      </c>
      <c r="E1972" s="1" t="s">
        <v>23</v>
      </c>
      <c r="F1972" s="1" t="s">
        <v>24</v>
      </c>
      <c r="G1972" s="1" t="s">
        <v>26</v>
      </c>
      <c r="H1972">
        <v>69</v>
      </c>
      <c r="I1972">
        <v>6</v>
      </c>
      <c r="J1972">
        <v>414</v>
      </c>
    </row>
    <row r="1973" spans="1:10" x14ac:dyDescent="0.25">
      <c r="A1973">
        <v>1972</v>
      </c>
      <c r="B1973" s="2">
        <v>43743</v>
      </c>
      <c r="C1973">
        <v>8</v>
      </c>
      <c r="D1973" s="1" t="s">
        <v>34</v>
      </c>
      <c r="E1973" s="1" t="s">
        <v>19</v>
      </c>
      <c r="F1973" s="1" t="s">
        <v>20</v>
      </c>
      <c r="G1973" s="1" t="s">
        <v>26</v>
      </c>
      <c r="H1973">
        <v>69</v>
      </c>
      <c r="I1973">
        <v>0</v>
      </c>
      <c r="J1973">
        <v>0</v>
      </c>
    </row>
    <row r="1974" spans="1:10" x14ac:dyDescent="0.25">
      <c r="A1974">
        <v>1973</v>
      </c>
      <c r="B1974" s="2">
        <v>43743</v>
      </c>
      <c r="C1974">
        <v>12</v>
      </c>
      <c r="D1974" s="1" t="s">
        <v>42</v>
      </c>
      <c r="E1974" s="1" t="s">
        <v>11</v>
      </c>
      <c r="F1974" s="1" t="s">
        <v>12</v>
      </c>
      <c r="G1974" s="1" t="s">
        <v>32</v>
      </c>
      <c r="H1974">
        <v>399</v>
      </c>
      <c r="I1974">
        <v>6</v>
      </c>
      <c r="J1974">
        <v>2394</v>
      </c>
    </row>
    <row r="1975" spans="1:10" x14ac:dyDescent="0.25">
      <c r="A1975">
        <v>1974</v>
      </c>
      <c r="B1975" s="2">
        <v>43744</v>
      </c>
      <c r="C1975">
        <v>19</v>
      </c>
      <c r="D1975" s="1" t="s">
        <v>38</v>
      </c>
      <c r="E1975" s="1" t="s">
        <v>23</v>
      </c>
      <c r="F1975" s="1" t="s">
        <v>24</v>
      </c>
      <c r="G1975" s="1" t="s">
        <v>17</v>
      </c>
      <c r="H1975">
        <v>289</v>
      </c>
      <c r="I1975">
        <v>1</v>
      </c>
      <c r="J1975">
        <v>289</v>
      </c>
    </row>
    <row r="1976" spans="1:10" x14ac:dyDescent="0.25">
      <c r="A1976">
        <v>1975</v>
      </c>
      <c r="B1976" s="2">
        <v>43745</v>
      </c>
      <c r="C1976">
        <v>6</v>
      </c>
      <c r="D1976" s="1" t="s">
        <v>36</v>
      </c>
      <c r="E1976" s="1" t="s">
        <v>19</v>
      </c>
      <c r="F1976" s="1" t="s">
        <v>20</v>
      </c>
      <c r="G1976" s="1" t="s">
        <v>21</v>
      </c>
      <c r="H1976">
        <v>159</v>
      </c>
      <c r="I1976">
        <v>4</v>
      </c>
      <c r="J1976">
        <v>636</v>
      </c>
    </row>
    <row r="1977" spans="1:10" x14ac:dyDescent="0.25">
      <c r="A1977">
        <v>1976</v>
      </c>
      <c r="B1977" s="2">
        <v>43745</v>
      </c>
      <c r="C1977">
        <v>15</v>
      </c>
      <c r="D1977" s="1" t="s">
        <v>46</v>
      </c>
      <c r="E1977" s="1" t="s">
        <v>11</v>
      </c>
      <c r="F1977" s="1" t="s">
        <v>12</v>
      </c>
      <c r="G1977" s="1" t="s">
        <v>21</v>
      </c>
      <c r="H1977">
        <v>159</v>
      </c>
      <c r="I1977">
        <v>1</v>
      </c>
      <c r="J1977">
        <v>159</v>
      </c>
    </row>
    <row r="1978" spans="1:10" x14ac:dyDescent="0.25">
      <c r="A1978">
        <v>1977</v>
      </c>
      <c r="B1978" s="2">
        <v>43746</v>
      </c>
      <c r="C1978">
        <v>10</v>
      </c>
      <c r="D1978" s="1" t="s">
        <v>39</v>
      </c>
      <c r="E1978" s="1" t="s">
        <v>19</v>
      </c>
      <c r="F1978" s="1" t="s">
        <v>20</v>
      </c>
      <c r="G1978" s="1" t="s">
        <v>21</v>
      </c>
      <c r="H1978">
        <v>159</v>
      </c>
      <c r="I1978">
        <v>6</v>
      </c>
      <c r="J1978">
        <v>954</v>
      </c>
    </row>
    <row r="1979" spans="1:10" x14ac:dyDescent="0.25">
      <c r="A1979">
        <v>1978</v>
      </c>
      <c r="B1979" s="2">
        <v>43746</v>
      </c>
      <c r="C1979">
        <v>14</v>
      </c>
      <c r="D1979" s="1" t="s">
        <v>30</v>
      </c>
      <c r="E1979" s="1" t="s">
        <v>41</v>
      </c>
      <c r="F1979" s="1" t="s">
        <v>12</v>
      </c>
      <c r="G1979" s="1" t="s">
        <v>13</v>
      </c>
      <c r="H1979">
        <v>199</v>
      </c>
      <c r="I1979">
        <v>0</v>
      </c>
      <c r="J1979">
        <v>0</v>
      </c>
    </row>
    <row r="1980" spans="1:10" x14ac:dyDescent="0.25">
      <c r="A1980">
        <v>1979</v>
      </c>
      <c r="B1980" s="2">
        <v>43747</v>
      </c>
      <c r="C1980">
        <v>11</v>
      </c>
      <c r="D1980" s="1" t="s">
        <v>10</v>
      </c>
      <c r="E1980" s="1" t="s">
        <v>41</v>
      </c>
      <c r="F1980" s="1" t="s">
        <v>12</v>
      </c>
      <c r="G1980" s="1" t="s">
        <v>21</v>
      </c>
      <c r="H1980">
        <v>159</v>
      </c>
      <c r="I1980">
        <v>0</v>
      </c>
      <c r="J1980">
        <v>0</v>
      </c>
    </row>
    <row r="1981" spans="1:10" x14ac:dyDescent="0.25">
      <c r="A1981">
        <v>1980</v>
      </c>
      <c r="B1981" s="2">
        <v>43747</v>
      </c>
      <c r="C1981">
        <v>17</v>
      </c>
      <c r="D1981" s="1" t="s">
        <v>28</v>
      </c>
      <c r="E1981" s="1" t="s">
        <v>23</v>
      </c>
      <c r="F1981" s="1" t="s">
        <v>24</v>
      </c>
      <c r="G1981" s="1" t="s">
        <v>26</v>
      </c>
      <c r="H1981">
        <v>69</v>
      </c>
      <c r="I1981">
        <v>4</v>
      </c>
      <c r="J1981">
        <v>276</v>
      </c>
    </row>
    <row r="1982" spans="1:10" x14ac:dyDescent="0.25">
      <c r="A1982">
        <v>1981</v>
      </c>
      <c r="B1982" s="2">
        <v>43747</v>
      </c>
      <c r="C1982">
        <v>12</v>
      </c>
      <c r="D1982" s="1" t="s">
        <v>42</v>
      </c>
      <c r="E1982" s="1" t="s">
        <v>11</v>
      </c>
      <c r="F1982" s="1" t="s">
        <v>12</v>
      </c>
      <c r="G1982" s="1" t="s">
        <v>17</v>
      </c>
      <c r="H1982">
        <v>289</v>
      </c>
      <c r="I1982">
        <v>0</v>
      </c>
      <c r="J1982">
        <v>0</v>
      </c>
    </row>
    <row r="1983" spans="1:10" x14ac:dyDescent="0.25">
      <c r="A1983">
        <v>1982</v>
      </c>
      <c r="B1983" s="2">
        <v>43747</v>
      </c>
      <c r="C1983">
        <v>15</v>
      </c>
      <c r="D1983" s="1" t="s">
        <v>46</v>
      </c>
      <c r="E1983" s="1" t="s">
        <v>41</v>
      </c>
      <c r="F1983" s="1" t="s">
        <v>12</v>
      </c>
      <c r="G1983" s="1" t="s">
        <v>26</v>
      </c>
      <c r="H1983">
        <v>69</v>
      </c>
      <c r="I1983">
        <v>1</v>
      </c>
      <c r="J1983">
        <v>69</v>
      </c>
    </row>
    <row r="1984" spans="1:10" x14ac:dyDescent="0.25">
      <c r="A1984">
        <v>1983</v>
      </c>
      <c r="B1984" s="2">
        <v>43748</v>
      </c>
      <c r="C1984">
        <v>3</v>
      </c>
      <c r="D1984" s="1" t="s">
        <v>33</v>
      </c>
      <c r="E1984" s="1" t="s">
        <v>43</v>
      </c>
      <c r="F1984" s="1" t="s">
        <v>16</v>
      </c>
      <c r="G1984" s="1" t="s">
        <v>32</v>
      </c>
      <c r="H1984">
        <v>399</v>
      </c>
      <c r="I1984">
        <v>1</v>
      </c>
      <c r="J1984">
        <v>399</v>
      </c>
    </row>
    <row r="1985" spans="1:10" x14ac:dyDescent="0.25">
      <c r="A1985">
        <v>1984</v>
      </c>
      <c r="B1985" s="2">
        <v>43749</v>
      </c>
      <c r="C1985">
        <v>20</v>
      </c>
      <c r="D1985" s="1" t="s">
        <v>31</v>
      </c>
      <c r="E1985" s="1" t="s">
        <v>23</v>
      </c>
      <c r="F1985" s="1" t="s">
        <v>24</v>
      </c>
      <c r="G1985" s="1" t="s">
        <v>13</v>
      </c>
      <c r="H1985">
        <v>199</v>
      </c>
      <c r="I1985">
        <v>1</v>
      </c>
      <c r="J1985">
        <v>199</v>
      </c>
    </row>
    <row r="1986" spans="1:10" x14ac:dyDescent="0.25">
      <c r="A1986">
        <v>1985</v>
      </c>
      <c r="B1986" s="2">
        <v>43750</v>
      </c>
      <c r="C1986">
        <v>13</v>
      </c>
      <c r="D1986" s="1" t="s">
        <v>27</v>
      </c>
      <c r="E1986" s="1" t="s">
        <v>11</v>
      </c>
      <c r="F1986" s="1" t="s">
        <v>12</v>
      </c>
      <c r="G1986" s="1" t="s">
        <v>32</v>
      </c>
      <c r="H1986">
        <v>399</v>
      </c>
      <c r="I1986">
        <v>3</v>
      </c>
      <c r="J1986">
        <v>1197</v>
      </c>
    </row>
    <row r="1987" spans="1:10" x14ac:dyDescent="0.25">
      <c r="A1987">
        <v>1986</v>
      </c>
      <c r="B1987" s="2">
        <v>43750</v>
      </c>
      <c r="C1987">
        <v>1</v>
      </c>
      <c r="D1987" s="1" t="s">
        <v>14</v>
      </c>
      <c r="E1987" s="1" t="s">
        <v>15</v>
      </c>
      <c r="F1987" s="1" t="s">
        <v>16</v>
      </c>
      <c r="G1987" s="1" t="s">
        <v>26</v>
      </c>
      <c r="H1987">
        <v>69</v>
      </c>
      <c r="I1987">
        <v>8</v>
      </c>
      <c r="J1987">
        <v>552</v>
      </c>
    </row>
    <row r="1988" spans="1:10" x14ac:dyDescent="0.25">
      <c r="A1988">
        <v>1987</v>
      </c>
      <c r="B1988" s="2">
        <v>43751</v>
      </c>
      <c r="C1988">
        <v>9</v>
      </c>
      <c r="D1988" s="1" t="s">
        <v>18</v>
      </c>
      <c r="E1988" s="1" t="s">
        <v>19</v>
      </c>
      <c r="F1988" s="1" t="s">
        <v>20</v>
      </c>
      <c r="G1988" s="1" t="s">
        <v>17</v>
      </c>
      <c r="H1988">
        <v>289</v>
      </c>
      <c r="I1988">
        <v>0</v>
      </c>
      <c r="J1988">
        <v>0</v>
      </c>
    </row>
    <row r="1989" spans="1:10" x14ac:dyDescent="0.25">
      <c r="A1989">
        <v>1988</v>
      </c>
      <c r="B1989" s="2">
        <v>43751</v>
      </c>
      <c r="C1989">
        <v>2</v>
      </c>
      <c r="D1989" s="1" t="s">
        <v>45</v>
      </c>
      <c r="E1989" s="1" t="s">
        <v>43</v>
      </c>
      <c r="F1989" s="1" t="s">
        <v>16</v>
      </c>
      <c r="G1989" s="1" t="s">
        <v>13</v>
      </c>
      <c r="H1989">
        <v>199</v>
      </c>
      <c r="I1989">
        <v>5</v>
      </c>
      <c r="J1989">
        <v>995</v>
      </c>
    </row>
    <row r="1990" spans="1:10" x14ac:dyDescent="0.25">
      <c r="A1990">
        <v>1989</v>
      </c>
      <c r="B1990" s="2">
        <v>43751</v>
      </c>
      <c r="C1990">
        <v>12</v>
      </c>
      <c r="D1990" s="1" t="s">
        <v>42</v>
      </c>
      <c r="E1990" s="1" t="s">
        <v>41</v>
      </c>
      <c r="F1990" s="1" t="s">
        <v>12</v>
      </c>
      <c r="G1990" s="1" t="s">
        <v>17</v>
      </c>
      <c r="H1990">
        <v>289</v>
      </c>
      <c r="I1990">
        <v>3</v>
      </c>
      <c r="J1990">
        <v>867</v>
      </c>
    </row>
    <row r="1991" spans="1:10" x14ac:dyDescent="0.25">
      <c r="A1991">
        <v>1990</v>
      </c>
      <c r="B1991" s="2">
        <v>43751</v>
      </c>
      <c r="C1991">
        <v>11</v>
      </c>
      <c r="D1991" s="1" t="s">
        <v>10</v>
      </c>
      <c r="E1991" s="1" t="s">
        <v>11</v>
      </c>
      <c r="F1991" s="1" t="s">
        <v>12</v>
      </c>
      <c r="G1991" s="1" t="s">
        <v>13</v>
      </c>
      <c r="H1991">
        <v>199</v>
      </c>
      <c r="I1991">
        <v>4</v>
      </c>
      <c r="J1991">
        <v>796</v>
      </c>
    </row>
    <row r="1992" spans="1:10" x14ac:dyDescent="0.25">
      <c r="A1992">
        <v>1991</v>
      </c>
      <c r="B1992" s="2">
        <v>43752</v>
      </c>
      <c r="C1992">
        <v>3</v>
      </c>
      <c r="D1992" s="1" t="s">
        <v>33</v>
      </c>
      <c r="E1992" s="1" t="s">
        <v>15</v>
      </c>
      <c r="F1992" s="1" t="s">
        <v>16</v>
      </c>
      <c r="G1992" s="1" t="s">
        <v>13</v>
      </c>
      <c r="H1992">
        <v>199</v>
      </c>
      <c r="I1992">
        <v>7</v>
      </c>
      <c r="J1992">
        <v>1393</v>
      </c>
    </row>
    <row r="1993" spans="1:10" x14ac:dyDescent="0.25">
      <c r="A1993">
        <v>1992</v>
      </c>
      <c r="B1993" s="2">
        <v>43753</v>
      </c>
      <c r="C1993">
        <v>5</v>
      </c>
      <c r="D1993" s="1" t="s">
        <v>40</v>
      </c>
      <c r="E1993" s="1" t="s">
        <v>15</v>
      </c>
      <c r="F1993" s="1" t="s">
        <v>16</v>
      </c>
      <c r="G1993" s="1" t="s">
        <v>21</v>
      </c>
      <c r="H1993">
        <v>159</v>
      </c>
      <c r="I1993">
        <v>7</v>
      </c>
      <c r="J1993">
        <v>1113</v>
      </c>
    </row>
    <row r="1994" spans="1:10" x14ac:dyDescent="0.25">
      <c r="A1994">
        <v>1993</v>
      </c>
      <c r="B1994" s="2">
        <v>43754</v>
      </c>
      <c r="C1994">
        <v>15</v>
      </c>
      <c r="D1994" s="1" t="s">
        <v>46</v>
      </c>
      <c r="E1994" s="1" t="s">
        <v>41</v>
      </c>
      <c r="F1994" s="1" t="s">
        <v>12</v>
      </c>
      <c r="G1994" s="1" t="s">
        <v>13</v>
      </c>
      <c r="H1994">
        <v>199</v>
      </c>
      <c r="I1994">
        <v>1</v>
      </c>
      <c r="J1994">
        <v>199</v>
      </c>
    </row>
    <row r="1995" spans="1:10" x14ac:dyDescent="0.25">
      <c r="A1995">
        <v>1994</v>
      </c>
      <c r="B1995" s="2">
        <v>43754</v>
      </c>
      <c r="C1995">
        <v>3</v>
      </c>
      <c r="D1995" s="1" t="s">
        <v>33</v>
      </c>
      <c r="E1995" s="1" t="s">
        <v>15</v>
      </c>
      <c r="F1995" s="1" t="s">
        <v>16</v>
      </c>
      <c r="G1995" s="1" t="s">
        <v>26</v>
      </c>
      <c r="H1995">
        <v>69</v>
      </c>
      <c r="I1995">
        <v>3</v>
      </c>
      <c r="J1995">
        <v>207</v>
      </c>
    </row>
    <row r="1996" spans="1:10" x14ac:dyDescent="0.25">
      <c r="A1996">
        <v>1995</v>
      </c>
      <c r="B1996" s="2">
        <v>43754</v>
      </c>
      <c r="C1996">
        <v>1</v>
      </c>
      <c r="D1996" s="1" t="s">
        <v>14</v>
      </c>
      <c r="E1996" s="1" t="s">
        <v>15</v>
      </c>
      <c r="F1996" s="1" t="s">
        <v>16</v>
      </c>
      <c r="G1996" s="1" t="s">
        <v>13</v>
      </c>
      <c r="H1996">
        <v>199</v>
      </c>
      <c r="I1996">
        <v>8</v>
      </c>
      <c r="J1996">
        <v>1592</v>
      </c>
    </row>
    <row r="1997" spans="1:10" x14ac:dyDescent="0.25">
      <c r="A1997">
        <v>1996</v>
      </c>
      <c r="B1997" s="2">
        <v>43754</v>
      </c>
      <c r="C1997">
        <v>9</v>
      </c>
      <c r="D1997" s="1" t="s">
        <v>18</v>
      </c>
      <c r="E1997" s="1" t="s">
        <v>35</v>
      </c>
      <c r="F1997" s="1" t="s">
        <v>20</v>
      </c>
      <c r="G1997" s="1" t="s">
        <v>26</v>
      </c>
      <c r="H1997">
        <v>69</v>
      </c>
      <c r="I1997">
        <v>8</v>
      </c>
      <c r="J1997">
        <v>552</v>
      </c>
    </row>
    <row r="1998" spans="1:10" x14ac:dyDescent="0.25">
      <c r="A1998">
        <v>1997</v>
      </c>
      <c r="B1998" s="2">
        <v>43754</v>
      </c>
      <c r="C1998">
        <v>5</v>
      </c>
      <c r="D1998" s="1" t="s">
        <v>40</v>
      </c>
      <c r="E1998" s="1" t="s">
        <v>43</v>
      </c>
      <c r="F1998" s="1" t="s">
        <v>16</v>
      </c>
      <c r="G1998" s="1" t="s">
        <v>26</v>
      </c>
      <c r="H1998">
        <v>69</v>
      </c>
      <c r="I1998">
        <v>6</v>
      </c>
      <c r="J1998">
        <v>414</v>
      </c>
    </row>
    <row r="1999" spans="1:10" x14ac:dyDescent="0.25">
      <c r="A1999">
        <v>1998</v>
      </c>
      <c r="B1999" s="2">
        <v>43754</v>
      </c>
      <c r="C1999">
        <v>3</v>
      </c>
      <c r="D1999" s="1" t="s">
        <v>33</v>
      </c>
      <c r="E1999" s="1" t="s">
        <v>43</v>
      </c>
      <c r="F1999" s="1" t="s">
        <v>16</v>
      </c>
      <c r="G1999" s="1" t="s">
        <v>32</v>
      </c>
      <c r="H1999">
        <v>399</v>
      </c>
      <c r="I1999">
        <v>6</v>
      </c>
      <c r="J1999">
        <v>2394</v>
      </c>
    </row>
    <row r="2000" spans="1:10" x14ac:dyDescent="0.25">
      <c r="A2000">
        <v>1999</v>
      </c>
      <c r="B2000" s="2">
        <v>43754</v>
      </c>
      <c r="C2000">
        <v>6</v>
      </c>
      <c r="D2000" s="1" t="s">
        <v>36</v>
      </c>
      <c r="E2000" s="1" t="s">
        <v>35</v>
      </c>
      <c r="F2000" s="1" t="s">
        <v>20</v>
      </c>
      <c r="G2000" s="1" t="s">
        <v>17</v>
      </c>
      <c r="H2000">
        <v>289</v>
      </c>
      <c r="I2000">
        <v>1</v>
      </c>
      <c r="J2000">
        <v>289</v>
      </c>
    </row>
    <row r="2001" spans="1:10" x14ac:dyDescent="0.25">
      <c r="A2001">
        <v>2000</v>
      </c>
      <c r="B2001" s="2">
        <v>43754</v>
      </c>
      <c r="C2001">
        <v>14</v>
      </c>
      <c r="D2001" s="1" t="s">
        <v>30</v>
      </c>
      <c r="E2001" s="1" t="s">
        <v>11</v>
      </c>
      <c r="F2001" s="1" t="s">
        <v>12</v>
      </c>
      <c r="G2001" s="1" t="s">
        <v>13</v>
      </c>
      <c r="H2001">
        <v>199</v>
      </c>
      <c r="I2001">
        <v>4</v>
      </c>
      <c r="J2001">
        <v>796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8D00-CCE3-43CF-A75C-F116E4596562}">
  <dimension ref="A3:R46"/>
  <sheetViews>
    <sheetView zoomScale="116" workbookViewId="0">
      <selection activeCell="A4" sqref="A4"/>
    </sheetView>
  </sheetViews>
  <sheetFormatPr defaultRowHeight="15" x14ac:dyDescent="0.25"/>
  <cols>
    <col min="1" max="2" width="16.28515625" bestFit="1" customWidth="1"/>
    <col min="3" max="3" width="11.28515625" bestFit="1" customWidth="1"/>
    <col min="4" max="4" width="14.85546875" bestFit="1" customWidth="1"/>
    <col min="5" max="5" width="11.28515625" bestFit="1" customWidth="1"/>
    <col min="6" max="6" width="17.28515625" bestFit="1" customWidth="1"/>
    <col min="7" max="8" width="13.140625" bestFit="1" customWidth="1"/>
    <col min="9" max="9" width="15.140625" bestFit="1" customWidth="1"/>
    <col min="10" max="12" width="23.42578125" bestFit="1" customWidth="1"/>
    <col min="13" max="13" width="15" bestFit="1" customWidth="1"/>
    <col min="14" max="14" width="13.85546875" bestFit="1" customWidth="1"/>
    <col min="15" max="15" width="13.140625" bestFit="1" customWidth="1"/>
    <col min="16" max="16" width="13.85546875" bestFit="1" customWidth="1"/>
    <col min="17" max="22" width="23.42578125" bestFit="1" customWidth="1"/>
    <col min="23" max="23" width="16.140625" bestFit="1" customWidth="1"/>
    <col min="24" max="654" width="23.42578125" bestFit="1" customWidth="1"/>
    <col min="655" max="655" width="16.140625" bestFit="1" customWidth="1"/>
    <col min="656" max="662" width="10.7109375" bestFit="1" customWidth="1"/>
    <col min="663" max="663" width="11.28515625" bestFit="1" customWidth="1"/>
  </cols>
  <sheetData>
    <row r="3" spans="1:18" x14ac:dyDescent="0.25">
      <c r="A3" t="s">
        <v>47</v>
      </c>
      <c r="B3" t="s">
        <v>48</v>
      </c>
      <c r="C3" t="s">
        <v>49</v>
      </c>
      <c r="D3" s="7" t="s">
        <v>50</v>
      </c>
    </row>
    <row r="4" spans="1:18" x14ac:dyDescent="0.25">
      <c r="A4" s="8">
        <v>2000</v>
      </c>
      <c r="B4" s="1">
        <v>20</v>
      </c>
      <c r="C4" s="8">
        <v>9119</v>
      </c>
      <c r="D4" s="7">
        <v>2028591</v>
      </c>
    </row>
    <row r="6" spans="1:18" x14ac:dyDescent="0.25">
      <c r="H6" t="s">
        <v>67</v>
      </c>
    </row>
    <row r="7" spans="1:18" x14ac:dyDescent="0.25">
      <c r="A7" t="s">
        <v>51</v>
      </c>
      <c r="B7" t="s">
        <v>52</v>
      </c>
      <c r="C7" t="s">
        <v>53</v>
      </c>
      <c r="D7" t="s">
        <v>54</v>
      </c>
      <c r="H7" s="6" t="s">
        <v>66</v>
      </c>
      <c r="I7" t="s">
        <v>50</v>
      </c>
      <c r="J7" t="str">
        <f>"The Month with the highest revenue is "&amp;INDEX(H8:H19,MATCH(MAX(I8:I19),I8:I19,0))&amp; " with "&amp;TEXT(MAX(I8:I19),"$#,##")</f>
        <v>The Month with the highest revenue is Mar with $230,383</v>
      </c>
    </row>
    <row r="8" spans="1:18" x14ac:dyDescent="0.25">
      <c r="A8" s="1">
        <v>5259</v>
      </c>
      <c r="B8" s="1">
        <v>20</v>
      </c>
      <c r="C8" s="1">
        <v>1158151</v>
      </c>
      <c r="D8" s="1">
        <v>1146</v>
      </c>
      <c r="H8" s="4" t="s">
        <v>63</v>
      </c>
      <c r="I8" s="7">
        <v>177052</v>
      </c>
    </row>
    <row r="9" spans="1:18" x14ac:dyDescent="0.25">
      <c r="H9" s="4" t="s">
        <v>64</v>
      </c>
      <c r="I9" s="7">
        <v>199129</v>
      </c>
    </row>
    <row r="10" spans="1:18" x14ac:dyDescent="0.25">
      <c r="H10" s="4" t="s">
        <v>65</v>
      </c>
      <c r="I10" s="7">
        <v>230383</v>
      </c>
      <c r="O10" t="s">
        <v>71</v>
      </c>
    </row>
    <row r="11" spans="1:18" x14ac:dyDescent="0.25">
      <c r="H11" s="4" t="s">
        <v>72</v>
      </c>
      <c r="I11" s="7">
        <v>185792</v>
      </c>
      <c r="O11" s="3" t="s">
        <v>66</v>
      </c>
      <c r="P11" s="7" t="s">
        <v>50</v>
      </c>
    </row>
    <row r="12" spans="1:18" x14ac:dyDescent="0.25">
      <c r="H12" s="4" t="s">
        <v>73</v>
      </c>
      <c r="I12" s="7">
        <v>210160</v>
      </c>
      <c r="O12" s="4" t="s">
        <v>18</v>
      </c>
      <c r="P12" s="7">
        <v>111991</v>
      </c>
      <c r="R12" t="str">
        <f>"The Customer with the highest revenue is "&amp;INDEX(O12:O16,MATCH(MAX(P12:P16),P12:P16,0))&amp; " with "&amp;TEXT(MAX(P12:P16),"$#,##")</f>
        <v>The Customer with the highest revenue is Company D with $122,821</v>
      </c>
    </row>
    <row r="13" spans="1:18" x14ac:dyDescent="0.25">
      <c r="H13" s="4" t="s">
        <v>74</v>
      </c>
      <c r="I13" s="7">
        <v>193125</v>
      </c>
      <c r="O13" s="4" t="s">
        <v>30</v>
      </c>
      <c r="P13" s="7">
        <v>114447</v>
      </c>
    </row>
    <row r="14" spans="1:18" x14ac:dyDescent="0.25">
      <c r="H14" s="4" t="s">
        <v>75</v>
      </c>
      <c r="I14" s="7">
        <v>158674</v>
      </c>
      <c r="M14" t="s">
        <v>50</v>
      </c>
      <c r="O14" s="4" t="s">
        <v>27</v>
      </c>
      <c r="P14" s="7">
        <v>115641</v>
      </c>
    </row>
    <row r="15" spans="1:18" x14ac:dyDescent="0.25">
      <c r="D15" s="9" t="s">
        <v>55</v>
      </c>
      <c r="E15" s="10" t="s">
        <v>56</v>
      </c>
      <c r="F15" s="10" t="s">
        <v>57</v>
      </c>
      <c r="G15" s="10" t="s">
        <v>58</v>
      </c>
      <c r="H15" s="4" t="s">
        <v>76</v>
      </c>
      <c r="I15" s="7">
        <v>184981</v>
      </c>
      <c r="M15" s="5">
        <v>2028591</v>
      </c>
      <c r="O15" s="4" t="s">
        <v>38</v>
      </c>
      <c r="P15" s="7">
        <v>122085</v>
      </c>
    </row>
    <row r="16" spans="1:18" x14ac:dyDescent="0.25">
      <c r="D16" s="11">
        <v>0</v>
      </c>
      <c r="E16" s="11">
        <v>0.74520069808027922</v>
      </c>
      <c r="F16" s="11">
        <v>0.73397984407682071</v>
      </c>
      <c r="G16" s="11">
        <v>0.75157729864240497</v>
      </c>
      <c r="H16" s="4" t="s">
        <v>77</v>
      </c>
      <c r="I16" s="7">
        <v>172217</v>
      </c>
      <c r="O16" s="4" t="s">
        <v>37</v>
      </c>
      <c r="P16" s="7">
        <v>122821</v>
      </c>
    </row>
    <row r="17" spans="8:16" x14ac:dyDescent="0.25">
      <c r="H17" s="4" t="s">
        <v>78</v>
      </c>
      <c r="I17" s="7">
        <v>126306</v>
      </c>
      <c r="O17" s="4" t="s">
        <v>60</v>
      </c>
      <c r="P17" s="7">
        <v>586985</v>
      </c>
    </row>
    <row r="18" spans="8:16" x14ac:dyDescent="0.25">
      <c r="H18" s="4" t="s">
        <v>79</v>
      </c>
      <c r="I18" s="7">
        <v>99699</v>
      </c>
    </row>
    <row r="19" spans="8:16" x14ac:dyDescent="0.25">
      <c r="H19" s="4" t="s">
        <v>80</v>
      </c>
      <c r="I19" s="7">
        <v>91073</v>
      </c>
    </row>
    <row r="20" spans="8:16" x14ac:dyDescent="0.25">
      <c r="H20" s="4" t="s">
        <v>60</v>
      </c>
      <c r="I20" s="7">
        <v>2028591</v>
      </c>
    </row>
    <row r="21" spans="8:16" x14ac:dyDescent="0.25">
      <c r="I21" s="5"/>
    </row>
    <row r="22" spans="8:16" x14ac:dyDescent="0.25">
      <c r="H22" s="4" t="s">
        <v>68</v>
      </c>
    </row>
    <row r="23" spans="8:16" x14ac:dyDescent="0.25">
      <c r="H23" s="3" t="s">
        <v>66</v>
      </c>
      <c r="I23" t="s">
        <v>50</v>
      </c>
      <c r="J23" t="str">
        <f>"The Region with the highest revenue is " &amp;INDEX(H24:H27,MATCH(MAX(I24:I27),I24:I27,0))&amp; " with "&amp;TEXT(MAX(I24:I27),"$#,##")</f>
        <v>The Region with the highest revenue is Texas with $532,135</v>
      </c>
    </row>
    <row r="24" spans="8:16" x14ac:dyDescent="0.25">
      <c r="H24" s="4" t="s">
        <v>24</v>
      </c>
      <c r="I24" s="7">
        <v>495353</v>
      </c>
    </row>
    <row r="25" spans="8:16" x14ac:dyDescent="0.25">
      <c r="H25" s="4" t="s">
        <v>20</v>
      </c>
      <c r="I25" s="7">
        <v>508119</v>
      </c>
    </row>
    <row r="26" spans="8:16" x14ac:dyDescent="0.25">
      <c r="H26" s="4" t="s">
        <v>12</v>
      </c>
      <c r="I26" s="7">
        <v>492984</v>
      </c>
    </row>
    <row r="27" spans="8:16" x14ac:dyDescent="0.25">
      <c r="H27" s="4" t="s">
        <v>16</v>
      </c>
      <c r="I27" s="7">
        <v>532135</v>
      </c>
    </row>
    <row r="28" spans="8:16" x14ac:dyDescent="0.25">
      <c r="H28" s="4" t="s">
        <v>60</v>
      </c>
      <c r="I28" s="5">
        <v>2028591</v>
      </c>
    </row>
    <row r="29" spans="8:16" x14ac:dyDescent="0.25">
      <c r="H29" s="4" t="s">
        <v>69</v>
      </c>
      <c r="M29" t="s">
        <v>70</v>
      </c>
    </row>
    <row r="30" spans="8:16" x14ac:dyDescent="0.25">
      <c r="H30" s="3" t="s">
        <v>66</v>
      </c>
      <c r="I30" s="7" t="s">
        <v>50</v>
      </c>
      <c r="M30" s="3" t="s">
        <v>66</v>
      </c>
      <c r="N30" t="s">
        <v>50</v>
      </c>
      <c r="P30" t="str">
        <f>"The Sales Person  with the highest revenue is "&amp;INDEX(M31:M38,MATCH(MAX(N31:N38),N31:N38,0))&amp; " with "&amp;TEXT(MAX(N31:N38),"$#,##")</f>
        <v>The Sales Person  with the highest revenue is Anna Weber with $276,378</v>
      </c>
    </row>
    <row r="31" spans="8:16" x14ac:dyDescent="0.25">
      <c r="H31" s="4" t="s">
        <v>32</v>
      </c>
      <c r="I31" s="7">
        <v>736953</v>
      </c>
      <c r="J31" t="str">
        <f>"The Item with the highest revenue is "&amp;INDEX(H31:H35,MATCH(MAX(I31:I35),I31:I35,0))&amp; " with "&amp;TEXT(MAX(I31:I35),"$#,##")</f>
        <v>The Item with the highest revenue is Item 1 with $736,953</v>
      </c>
      <c r="M31" s="4" t="s">
        <v>19</v>
      </c>
      <c r="N31" s="7">
        <v>231788</v>
      </c>
    </row>
    <row r="32" spans="8:16" x14ac:dyDescent="0.25">
      <c r="H32" s="4" t="s">
        <v>13</v>
      </c>
      <c r="I32" s="7">
        <v>365762</v>
      </c>
      <c r="M32" s="4" t="s">
        <v>41</v>
      </c>
      <c r="N32" s="7">
        <v>241194</v>
      </c>
    </row>
    <row r="33" spans="1:14" x14ac:dyDescent="0.25">
      <c r="H33" s="4" t="s">
        <v>26</v>
      </c>
      <c r="I33" s="7">
        <v>124890</v>
      </c>
      <c r="M33" s="4" t="s">
        <v>29</v>
      </c>
      <c r="N33" s="7">
        <v>243681</v>
      </c>
    </row>
    <row r="34" spans="1:14" x14ac:dyDescent="0.25">
      <c r="H34" s="4" t="s">
        <v>21</v>
      </c>
      <c r="I34" s="7">
        <v>301305</v>
      </c>
      <c r="M34" s="4" t="s">
        <v>23</v>
      </c>
      <c r="N34" s="7">
        <v>251672</v>
      </c>
    </row>
    <row r="35" spans="1:14" x14ac:dyDescent="0.25">
      <c r="H35" s="4" t="s">
        <v>17</v>
      </c>
      <c r="I35" s="7">
        <v>499681</v>
      </c>
      <c r="M35" s="4" t="s">
        <v>11</v>
      </c>
      <c r="N35" s="7">
        <v>251790</v>
      </c>
    </row>
    <row r="36" spans="1:14" x14ac:dyDescent="0.25">
      <c r="H36" s="4" t="s">
        <v>60</v>
      </c>
      <c r="I36" s="5">
        <v>2028591</v>
      </c>
      <c r="M36" s="4" t="s">
        <v>43</v>
      </c>
      <c r="N36" s="7">
        <v>255757</v>
      </c>
    </row>
    <row r="37" spans="1:14" x14ac:dyDescent="0.25">
      <c r="M37" s="4" t="s">
        <v>35</v>
      </c>
      <c r="N37" s="7">
        <v>276331</v>
      </c>
    </row>
    <row r="38" spans="1:14" x14ac:dyDescent="0.25">
      <c r="M38" s="4" t="s">
        <v>15</v>
      </c>
      <c r="N38" s="7">
        <v>276378</v>
      </c>
    </row>
    <row r="39" spans="1:14" x14ac:dyDescent="0.25">
      <c r="M39" s="4" t="s">
        <v>60</v>
      </c>
      <c r="N39" s="7">
        <v>2028591</v>
      </c>
    </row>
    <row r="45" spans="1:14" x14ac:dyDescent="0.25">
      <c r="A45" s="3" t="s">
        <v>59</v>
      </c>
    </row>
    <row r="46" spans="1:14" x14ac:dyDescent="0.25">
      <c r="A46" t="s">
        <v>61</v>
      </c>
      <c r="B46" t="s">
        <v>62</v>
      </c>
      <c r="C46" t="s">
        <v>60</v>
      </c>
    </row>
  </sheetData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ED39-DF36-40E5-9517-F4C4B80BFFC6}">
  <dimension ref="X20"/>
  <sheetViews>
    <sheetView showGridLines="0" topLeftCell="A2" zoomScaleNormal="100" workbookViewId="0">
      <selection activeCell="X7" sqref="X7"/>
    </sheetView>
  </sheetViews>
  <sheetFormatPr defaultRowHeight="15" x14ac:dyDescent="0.25"/>
  <cols>
    <col min="24" max="24" width="24.140625" customWidth="1"/>
  </cols>
  <sheetData>
    <row r="20" spans="24:24" x14ac:dyDescent="0.25">
      <c r="X20" s="11"/>
    </row>
  </sheetData>
  <pageMargins left="0.7" right="0.7" top="0.75" bottom="0.75" header="0.3" footer="0.3"/>
  <pageSetup orientation="portrait" r:id="rId1"/>
  <drawing r:id="rId2"/>
  <legacy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B7987AEA-0C23-4C37-BE3B-5A572EC67984}">
  <ds:schemaRefs/>
</ds:datastoreItem>
</file>

<file path=customXml/itemProps2.xml><?xml version="1.0" encoding="utf-8"?>
<ds:datastoreItem xmlns:ds="http://schemas.openxmlformats.org/officeDocument/2006/customXml" ds:itemID="{0678A442-BF87-463E-86F6-CD0A15A25CA7}">
  <ds:schemaRefs/>
</ds:datastoreItem>
</file>

<file path=customXml/itemProps3.xml><?xml version="1.0" encoding="utf-8"?>
<ds:datastoreItem xmlns:ds="http://schemas.openxmlformats.org/officeDocument/2006/customXml" ds:itemID="{A1D8A4B4-DAAE-409E-995E-5DC19256BFD8}">
  <ds:schemaRefs/>
</ds:datastoreItem>
</file>

<file path=customXml/itemProps4.xml><?xml version="1.0" encoding="utf-8"?>
<ds:datastoreItem xmlns:ds="http://schemas.openxmlformats.org/officeDocument/2006/customXml" ds:itemID="{83D9FB23-94DF-4EBE-A731-11AF4F6E7A6B}">
  <ds:schemaRefs/>
</ds:datastoreItem>
</file>

<file path=customXml/itemProps5.xml><?xml version="1.0" encoding="utf-8"?>
<ds:datastoreItem xmlns:ds="http://schemas.openxmlformats.org/officeDocument/2006/customXml" ds:itemID="{A33B81AC-545B-4699-B7CB-954F1EB45404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B4435EF3-3866-42B3-A320-8E37C0DE80F7}">
  <ds:schemaRefs/>
</ds:datastoreItem>
</file>

<file path=customXml/itemProps7.xml><?xml version="1.0" encoding="utf-8"?>
<ds:datastoreItem xmlns:ds="http://schemas.openxmlformats.org/officeDocument/2006/customXml" ds:itemID="{FFFF0E16-BEC1-41DE-8D5F-0ABB71AE9F35}">
  <ds:schemaRefs/>
</ds:datastoreItem>
</file>

<file path=customXml/itemProps8.xml><?xml version="1.0" encoding="utf-8"?>
<ds:datastoreItem xmlns:ds="http://schemas.openxmlformats.org/officeDocument/2006/customXml" ds:itemID="{D292F316-681B-4137-B2A3-D9DAAEB48018}">
  <ds:schemaRefs/>
</ds:datastoreItem>
</file>

<file path=customXml/itemProps9.xml><?xml version="1.0" encoding="utf-8"?>
<ds:datastoreItem xmlns:ds="http://schemas.openxmlformats.org/officeDocument/2006/customXml" ds:itemID="{559E0614-CDA8-4896-82D4-106D530D7B6C}">
  <ds:schemaRefs/>
</ds:datastoreItem>
</file>

<file path=customXml/itemProps10.xml><?xml version="1.0" encoding="utf-8"?>
<ds:datastoreItem xmlns:ds="http://schemas.openxmlformats.org/officeDocument/2006/customXml" ds:itemID="{032470EF-7C7E-422A-8655-C98589A7A038}">
  <ds:schemaRefs/>
</ds:datastoreItem>
</file>

<file path=customXml/itemProps11.xml><?xml version="1.0" encoding="utf-8"?>
<ds:datastoreItem xmlns:ds="http://schemas.openxmlformats.org/officeDocument/2006/customXml" ds:itemID="{45A88BDD-474B-4DB6-8186-90FCB6853716}">
  <ds:schemaRefs/>
</ds:datastoreItem>
</file>

<file path=customXml/itemProps12.xml><?xml version="1.0" encoding="utf-8"?>
<ds:datastoreItem xmlns:ds="http://schemas.openxmlformats.org/officeDocument/2006/customXml" ds:itemID="{A3C1B730-C0CD-4706-B729-38206FF39655}">
  <ds:schemaRefs/>
</ds:datastoreItem>
</file>

<file path=customXml/itemProps13.xml><?xml version="1.0" encoding="utf-8"?>
<ds:datastoreItem xmlns:ds="http://schemas.openxmlformats.org/officeDocument/2006/customXml" ds:itemID="{C08FF5E1-0900-4D0A-BA2D-3C6F63B0F01F}">
  <ds:schemaRefs/>
</ds:datastoreItem>
</file>

<file path=customXml/itemProps14.xml><?xml version="1.0" encoding="utf-8"?>
<ds:datastoreItem xmlns:ds="http://schemas.openxmlformats.org/officeDocument/2006/customXml" ds:itemID="{CC9F0E20-6095-42D3-8CF2-CE3670928057}">
  <ds:schemaRefs/>
</ds:datastoreItem>
</file>

<file path=customXml/itemProps15.xml><?xml version="1.0" encoding="utf-8"?>
<ds:datastoreItem xmlns:ds="http://schemas.openxmlformats.org/officeDocument/2006/customXml" ds:itemID="{3EC0A441-78EB-4EF9-90AD-F911539F03AD}">
  <ds:schemaRefs/>
</ds:datastoreItem>
</file>

<file path=customXml/itemProps16.xml><?xml version="1.0" encoding="utf-8"?>
<ds:datastoreItem xmlns:ds="http://schemas.openxmlformats.org/officeDocument/2006/customXml" ds:itemID="{1F41F3A8-FDB4-4116-99C2-8A538FA7C264}">
  <ds:schemaRefs/>
</ds:datastoreItem>
</file>

<file path=customXml/itemProps17.xml><?xml version="1.0" encoding="utf-8"?>
<ds:datastoreItem xmlns:ds="http://schemas.openxmlformats.org/officeDocument/2006/customXml" ds:itemID="{38DAD320-D6E0-4B53-893D-3CBE0D44F8D6}">
  <ds:schemaRefs/>
</ds:datastoreItem>
</file>

<file path=customXml/itemProps18.xml><?xml version="1.0" encoding="utf-8"?>
<ds:datastoreItem xmlns:ds="http://schemas.openxmlformats.org/officeDocument/2006/customXml" ds:itemID="{D32FAA68-1E80-4719-B831-2100EFA8E81F}">
  <ds:schemaRefs/>
</ds:datastoreItem>
</file>

<file path=customXml/itemProps19.xml><?xml version="1.0" encoding="utf-8"?>
<ds:datastoreItem xmlns:ds="http://schemas.openxmlformats.org/officeDocument/2006/customXml" ds:itemID="{CAFFE180-BDA9-4AF2-BF12-E8E377ED0A30}">
  <ds:schemaRefs/>
</ds:datastoreItem>
</file>

<file path=customXml/itemProps20.xml><?xml version="1.0" encoding="utf-8"?>
<ds:datastoreItem xmlns:ds="http://schemas.openxmlformats.org/officeDocument/2006/customXml" ds:itemID="{B237EA45-A323-41F6-929F-BB8F047BAC8F}">
  <ds:schemaRefs/>
</ds:datastoreItem>
</file>

<file path=customXml/itemProps21.xml><?xml version="1.0" encoding="utf-8"?>
<ds:datastoreItem xmlns:ds="http://schemas.openxmlformats.org/officeDocument/2006/customXml" ds:itemID="{89E576CB-6C09-4FC6-8CE7-2D9D4DD5CBFD}">
  <ds:schemaRefs/>
</ds:datastoreItem>
</file>

<file path=customXml/itemProps22.xml><?xml version="1.0" encoding="utf-8"?>
<ds:datastoreItem xmlns:ds="http://schemas.openxmlformats.org/officeDocument/2006/customXml" ds:itemID="{F242D4C5-2F9F-4D47-8C41-C0214CD1EF96}">
  <ds:schemaRefs/>
</ds:datastoreItem>
</file>

<file path=customXml/itemProps23.xml><?xml version="1.0" encoding="utf-8"?>
<ds:datastoreItem xmlns:ds="http://schemas.openxmlformats.org/officeDocument/2006/customXml" ds:itemID="{9BFC636D-F70A-4499-A496-094DA9EE594B}">
  <ds:schemaRefs/>
</ds:datastoreItem>
</file>

<file path=customXml/itemProps24.xml><?xml version="1.0" encoding="utf-8"?>
<ds:datastoreItem xmlns:ds="http://schemas.openxmlformats.org/officeDocument/2006/customXml" ds:itemID="{72E7C39C-A839-4F00-B55B-E385871CAC2A}">
  <ds:schemaRefs/>
</ds:datastoreItem>
</file>

<file path=customXml/itemProps25.xml><?xml version="1.0" encoding="utf-8"?>
<ds:datastoreItem xmlns:ds="http://schemas.openxmlformats.org/officeDocument/2006/customXml" ds:itemID="{8AAD90AE-7CB4-4A4A-BB8D-CDD4E6404EB6}">
  <ds:schemaRefs/>
</ds:datastoreItem>
</file>

<file path=customXml/itemProps26.xml><?xml version="1.0" encoding="utf-8"?>
<ds:datastoreItem xmlns:ds="http://schemas.openxmlformats.org/officeDocument/2006/customXml" ds:itemID="{D75808AE-BECD-4F55-B574-E1131601B380}">
  <ds:schemaRefs/>
</ds:datastoreItem>
</file>

<file path=customXml/itemProps27.xml><?xml version="1.0" encoding="utf-8"?>
<ds:datastoreItem xmlns:ds="http://schemas.openxmlformats.org/officeDocument/2006/customXml" ds:itemID="{C6BA3DEA-B577-40BC-A41D-BACCF20386D6}">
  <ds:schemaRefs/>
</ds:datastoreItem>
</file>

<file path=customXml/itemProps28.xml><?xml version="1.0" encoding="utf-8"?>
<ds:datastoreItem xmlns:ds="http://schemas.openxmlformats.org/officeDocument/2006/customXml" ds:itemID="{5B4FF649-621E-4390-8C39-745E99BF5652}">
  <ds:schemaRefs/>
</ds:datastoreItem>
</file>

<file path=customXml/itemProps29.xml><?xml version="1.0" encoding="utf-8"?>
<ds:datastoreItem xmlns:ds="http://schemas.openxmlformats.org/officeDocument/2006/customXml" ds:itemID="{CDDE1CF1-12D3-4E4D-A89D-2D85A3A157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Sales data</vt:lpstr>
      <vt:lpstr>Pivot tables</vt:lpstr>
      <vt:lpstr>Dashboard</vt:lpstr>
      <vt:lpstr>customers</vt:lpstr>
      <vt:lpstr>highestcustomer</vt:lpstr>
      <vt:lpstr>highestitem</vt:lpstr>
      <vt:lpstr>Highestmonth</vt:lpstr>
      <vt:lpstr>highestregion</vt:lpstr>
      <vt:lpstr>highestsalesperson</vt:lpstr>
      <vt:lpstr>Orders</vt:lpstr>
      <vt:lpstr>py</vt:lpstr>
      <vt:lpstr>quantities</vt:lpstr>
      <vt:lpstr>Revenue</vt:lpstr>
      <vt:lpstr>rr</vt:lpstr>
      <vt:lpstr>Total_order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2025-10-29T11:23:33Z</dcterms:created>
  <dcterms:modified xsi:type="dcterms:W3CDTF">2026-04-14T14:54:56Z</dcterms:modified>
</cp:coreProperties>
</file>